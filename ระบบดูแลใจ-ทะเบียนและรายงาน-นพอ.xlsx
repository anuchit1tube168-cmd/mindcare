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ทะเบียน ปี 1" sheetId="1" state="visible" r:id="rId3"/>
    <sheet name="ทะเบียน ปี 2" sheetId="2" state="visible" r:id="rId4"/>
    <sheet name="ทะเบียน ปี 3" sheetId="3" state="visible" r:id="rId5"/>
    <sheet name="ทะเบียน ปี 4" sheetId="4" state="visible" r:id="rId6"/>
    <sheet name="บันทึกผลประเมิน" sheetId="5" state="visible" r:id="rId7"/>
    <sheet name="รายงานแยกประเภท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<sst xmlns="http://schemas.openxmlformats.org/spreadsheetml/2006/main" count="1383" uniqueCount="581">
  <si>
    <t xml:space="preserve">ทะเบียนนักเรียนพยาบาลทหารอากาศ (นพอ.) — ชั้นปีที่ 1 · ปีการศึกษา 2569</t>
  </si>
  <si>
    <t xml:space="preserve">คอลัมน์ LINE userId เว้นว่างไว้ ให้เติมเมื่อนักเรียนผูกบัญชี LINE กับระบบ</t>
  </si>
  <si>
    <t xml:space="preserve">ลำดับ</t>
  </si>
  <si>
    <t xml:space="preserve">รหัสประจำตัว (7 หลัก)</t>
  </si>
  <si>
    <t xml:space="preserve">ยศ-ชื่อ-สกุล</t>
  </si>
  <si>
    <t xml:space="preserve">ชั้นปี</t>
  </si>
  <si>
    <t xml:space="preserve">หมู่</t>
  </si>
  <si>
    <t xml:space="preserve">เพศ</t>
  </si>
  <si>
    <t xml:space="preserve">LINE userId</t>
  </si>
  <si>
    <t xml:space="preserve">สถานะ</t>
  </si>
  <si>
    <t xml:space="preserve">6903946</t>
  </si>
  <si>
    <t xml:space="preserve">นพอ. กนกนุช อาจคำไพร</t>
  </si>
  <si>
    <t xml:space="preserve">ปี 1</t>
  </si>
  <si>
    <t xml:space="preserve">ญ</t>
  </si>
  <si>
    <t xml:space="preserve">กำลังศึกษา</t>
  </si>
  <si>
    <t xml:space="preserve">6903947</t>
  </si>
  <si>
    <t xml:space="preserve">นพอ. กรกนก เจียรนัย</t>
  </si>
  <si>
    <t xml:space="preserve">6903948</t>
  </si>
  <si>
    <t xml:space="preserve">นพอ.(ช) กฤติเดช เสาวธารพงศ์</t>
  </si>
  <si>
    <t xml:space="preserve">ช</t>
  </si>
  <si>
    <t xml:space="preserve">6903949</t>
  </si>
  <si>
    <t xml:space="preserve">นพอ. กัญญาพัชร เพ็ชรรัก</t>
  </si>
  <si>
    <t xml:space="preserve">6903950</t>
  </si>
  <si>
    <t xml:space="preserve">นพอ. กันต์ธิษณ์พิชชา ณะเสือ</t>
  </si>
  <si>
    <t xml:space="preserve">6903951</t>
  </si>
  <si>
    <t xml:space="preserve">นพอ. กัลยรักษ์ จันทร์ศรี</t>
  </si>
  <si>
    <t xml:space="preserve">6903952</t>
  </si>
  <si>
    <t xml:space="preserve">นพอ. กานต์สินี ชัยวารินทร์</t>
  </si>
  <si>
    <t xml:space="preserve">6903953</t>
  </si>
  <si>
    <t xml:space="preserve">นพอ. กุลิสรา พรหมบุตร</t>
  </si>
  <si>
    <t xml:space="preserve">6903954</t>
  </si>
  <si>
    <t xml:space="preserve">นพอ. คันธาลักษณ์ ริตพวง</t>
  </si>
  <si>
    <t xml:space="preserve">6903955</t>
  </si>
  <si>
    <t xml:space="preserve">นพอ. จณิสตา จันทดิษฐ์</t>
  </si>
  <si>
    <t xml:space="preserve">6903956</t>
  </si>
  <si>
    <t xml:space="preserve">นพอ.(ช) จิณณวัตร มีปัญญา</t>
  </si>
  <si>
    <t xml:space="preserve">6903957</t>
  </si>
  <si>
    <t xml:space="preserve">นพอ. จิดาภา บำรุงศรี</t>
  </si>
  <si>
    <t xml:space="preserve">6903958</t>
  </si>
  <si>
    <t xml:space="preserve">นพอ. จิดาภา รอดเย็น</t>
  </si>
  <si>
    <t xml:space="preserve">6903959</t>
  </si>
  <si>
    <t xml:space="preserve">นพอ. จิตรวรรณ ดิษฐพิสิษฐ์</t>
  </si>
  <si>
    <t xml:space="preserve">6903960</t>
  </si>
  <si>
    <t xml:space="preserve">นพอ. จิรชยา ศรีสะกูล</t>
  </si>
  <si>
    <t xml:space="preserve">6903961</t>
  </si>
  <si>
    <t xml:space="preserve">นพอ.(ช) เจษฎากร ศรีสงคราม</t>
  </si>
  <si>
    <t xml:space="preserve">6903962</t>
  </si>
  <si>
    <t xml:space="preserve">นพอ. ชนกานต์ เจริญสันธิ์</t>
  </si>
  <si>
    <t xml:space="preserve">6903963</t>
  </si>
  <si>
    <t xml:space="preserve">นพอ. ชนัญชิดา เจริญศิริ</t>
  </si>
  <si>
    <t xml:space="preserve">6903964</t>
  </si>
  <si>
    <t xml:space="preserve">นพอ.(ช) ชยกร แก้วบำรุง</t>
  </si>
  <si>
    <t xml:space="preserve">6903965</t>
  </si>
  <si>
    <t xml:space="preserve">นพอ. ชลพรรษา ใจสีธิ</t>
  </si>
  <si>
    <t xml:space="preserve">6903966</t>
  </si>
  <si>
    <t xml:space="preserve">นพอ. ชาคริยา คำเสียง</t>
  </si>
  <si>
    <t xml:space="preserve">6903967</t>
  </si>
  <si>
    <t xml:space="preserve">นพอ. ฐิตาภรณ์ คำแดง</t>
  </si>
  <si>
    <t xml:space="preserve">6903968</t>
  </si>
  <si>
    <t xml:space="preserve">นพอ. ฐิตาภรณ์ ชูรัตน์</t>
  </si>
  <si>
    <t xml:space="preserve">6903969</t>
  </si>
  <si>
    <t xml:space="preserve">นพอ.(ช) ณภัทร เพ็งปรีชา</t>
  </si>
  <si>
    <t xml:space="preserve">6903970</t>
  </si>
  <si>
    <t xml:space="preserve">นพอ. ณภัทรวรรณ ยิรัมย์</t>
  </si>
  <si>
    <t xml:space="preserve">6903971</t>
  </si>
  <si>
    <t xml:space="preserve">นพอ. ณัชยาภรณ์ พรมนต์</t>
  </si>
  <si>
    <t xml:space="preserve">6903972</t>
  </si>
  <si>
    <t xml:space="preserve">นพอ. ณัฏฐา บุญสันต์</t>
  </si>
  <si>
    <t xml:space="preserve">6903973</t>
  </si>
  <si>
    <t xml:space="preserve">นพอ. ณัฏฐิกา ชัยบุญมา</t>
  </si>
  <si>
    <t xml:space="preserve">6903974</t>
  </si>
  <si>
    <t xml:space="preserve">นพอ. ณัฐธิชา เวชสาร</t>
  </si>
  <si>
    <t xml:space="preserve">6903975</t>
  </si>
  <si>
    <t xml:space="preserve">นพอ. ณัฐธิชา สุขสวัสดิ์</t>
  </si>
  <si>
    <t xml:space="preserve">6903976</t>
  </si>
  <si>
    <t xml:space="preserve">นพอ. ธัชชลัยย์ ศุภศิลป์กนก</t>
  </si>
  <si>
    <t xml:space="preserve">6903977</t>
  </si>
  <si>
    <t xml:space="preserve">นพอ. ธัญวรัตน์ วิไล</t>
  </si>
  <si>
    <t xml:space="preserve">6903978</t>
  </si>
  <si>
    <t xml:space="preserve">นพอ. ธารญาทิพย์ สุขประเสริฐ</t>
  </si>
  <si>
    <t xml:space="preserve">6903979</t>
  </si>
  <si>
    <t xml:space="preserve">นพอ.(ช) นนท์ปวิธ จรูญธาดา</t>
  </si>
  <si>
    <t xml:space="preserve">6903980</t>
  </si>
  <si>
    <t xml:space="preserve">นพอ. เบญญาภา ตรึกตรา</t>
  </si>
  <si>
    <t xml:space="preserve">6903981</t>
  </si>
  <si>
    <t xml:space="preserve">นพอ. ปนัสญา คงวิจิตร</t>
  </si>
  <si>
    <t xml:space="preserve">6903982</t>
  </si>
  <si>
    <t xml:space="preserve">นพอ.(ช) ปวีณ จันตะเรือง</t>
  </si>
  <si>
    <t xml:space="preserve">6903983</t>
  </si>
  <si>
    <t xml:space="preserve">นพอ. ปิยธิดา ศุภศรี</t>
  </si>
  <si>
    <t xml:space="preserve">6903984</t>
  </si>
  <si>
    <t xml:space="preserve">นพอ. ปุณยาพร ศรีสมุทรนาค</t>
  </si>
  <si>
    <t xml:space="preserve">6903985</t>
  </si>
  <si>
    <t xml:space="preserve">นพอ. ผดุงพร รังษี</t>
  </si>
  <si>
    <t xml:space="preserve">6903986</t>
  </si>
  <si>
    <t xml:space="preserve">นพอ. พลอยเงิน น้ำเพชร</t>
  </si>
  <si>
    <t xml:space="preserve">6903987</t>
  </si>
  <si>
    <t xml:space="preserve">นพอ. พัชรพร เซ็งมา</t>
  </si>
  <si>
    <t xml:space="preserve">6903988</t>
  </si>
  <si>
    <t xml:space="preserve">นพอ. พัณณ์ชิตา นิลวร</t>
  </si>
  <si>
    <t xml:space="preserve">6903989</t>
  </si>
  <si>
    <t xml:space="preserve">นพอ. พันนิตา เพชรทอง</t>
  </si>
  <si>
    <t xml:space="preserve">6903990</t>
  </si>
  <si>
    <t xml:space="preserve">นพอ. พิมพ์วิมล เจิมมงคล</t>
  </si>
  <si>
    <t xml:space="preserve">6903991</t>
  </si>
  <si>
    <t xml:space="preserve">นพอ. ภัทรวดี กอกเชียงแสน</t>
  </si>
  <si>
    <t xml:space="preserve">6903992</t>
  </si>
  <si>
    <t xml:space="preserve">นพอ. ภัสสร เกียรติสูงส่ง</t>
  </si>
  <si>
    <t xml:space="preserve">6903993</t>
  </si>
  <si>
    <t xml:space="preserve">นพอ. มุฑิตา ดารา</t>
  </si>
  <si>
    <t xml:space="preserve">6903994</t>
  </si>
  <si>
    <t xml:space="preserve">นพอ. รสิตา หมันหลี</t>
  </si>
  <si>
    <t xml:space="preserve">6903995</t>
  </si>
  <si>
    <t xml:space="preserve">นพอ. รัฐกาญจน์ ม่วงขาว</t>
  </si>
  <si>
    <t xml:space="preserve">6903996</t>
  </si>
  <si>
    <t xml:space="preserve">นพอ. รัตนพรรณ บัวทอง</t>
  </si>
  <si>
    <t xml:space="preserve">6903997</t>
  </si>
  <si>
    <t xml:space="preserve">นพอ.(ช) รุ่งโรจน์ ผิวคำ</t>
  </si>
  <si>
    <t xml:space="preserve">6903998</t>
  </si>
  <si>
    <t xml:space="preserve">นพอ. ลภัสรดา เจริญฤทธิ์</t>
  </si>
  <si>
    <t xml:space="preserve">6903999</t>
  </si>
  <si>
    <t xml:space="preserve">นพอ. วริศรา เรียมปิติ</t>
  </si>
  <si>
    <t xml:space="preserve">6904000</t>
  </si>
  <si>
    <t xml:space="preserve">นพอ. วีร์สุดา เวบสูงเนิน</t>
  </si>
  <si>
    <t xml:space="preserve">6904001</t>
  </si>
  <si>
    <t xml:space="preserve">นพอ. ศรัณย์พร เพชรรอด</t>
  </si>
  <si>
    <t xml:space="preserve">6904002</t>
  </si>
  <si>
    <t xml:space="preserve">นพอ. สิริประภา ต้นดี</t>
  </si>
  <si>
    <t xml:space="preserve">6904003</t>
  </si>
  <si>
    <t xml:space="preserve">นพอ. สิริยากร อรรคฮาตสี</t>
  </si>
  <si>
    <t xml:space="preserve">6904004</t>
  </si>
  <si>
    <t xml:space="preserve">นพอ. สุธินี ไพเมือง</t>
  </si>
  <si>
    <t xml:space="preserve">6904005</t>
  </si>
  <si>
    <t xml:space="preserve">นพอ. อนัญญา นวลเพ็ง</t>
  </si>
  <si>
    <t xml:space="preserve">6904006</t>
  </si>
  <si>
    <t xml:space="preserve">นพอ. อภิญญา หะมณี</t>
  </si>
  <si>
    <t xml:space="preserve">6904007</t>
  </si>
  <si>
    <t xml:space="preserve">นพอ. อริญชยา อินทมี</t>
  </si>
  <si>
    <t xml:space="preserve">6904008</t>
  </si>
  <si>
    <t xml:space="preserve">นพอ. อริสรา คล่องการ</t>
  </si>
  <si>
    <t xml:space="preserve">6904009</t>
  </si>
  <si>
    <t xml:space="preserve">นพอ. อาฐิชยาภรณ์ กิ้นบุราณ</t>
  </si>
  <si>
    <t xml:space="preserve">ทะเบียนนักเรียนพยาบาลทหารอากาศ (นพอ.) — ชั้นปีที่ 2 · ปีการศึกษา 2569</t>
  </si>
  <si>
    <t xml:space="preserve">6803882</t>
  </si>
  <si>
    <t xml:space="preserve">นพอ. กมลฉัตร ชาสุรีย์</t>
  </si>
  <si>
    <t xml:space="preserve">ปี 2</t>
  </si>
  <si>
    <t xml:space="preserve">6803883</t>
  </si>
  <si>
    <t xml:space="preserve">นพอ. กรชนก หน่อทิม</t>
  </si>
  <si>
    <t xml:space="preserve">6803884</t>
  </si>
  <si>
    <t xml:space="preserve">นพอ. กรองทอง กันฟัก</t>
  </si>
  <si>
    <t xml:space="preserve">6803885</t>
  </si>
  <si>
    <t xml:space="preserve">นพอ.(ช) กษิดิ์เดช เอมอานนท์</t>
  </si>
  <si>
    <t xml:space="preserve">6803886</t>
  </si>
  <si>
    <t xml:space="preserve">นพอ. กัญญพัชร ทองสุข</t>
  </si>
  <si>
    <t xml:space="preserve">6803887</t>
  </si>
  <si>
    <t xml:space="preserve">นพอ. กัญญวรา โกษาเสวียง</t>
  </si>
  <si>
    <t xml:space="preserve">6803888</t>
  </si>
  <si>
    <t xml:space="preserve">นพอ. กันต์ธิดา นาคทอง</t>
  </si>
  <si>
    <t xml:space="preserve">6803889</t>
  </si>
  <si>
    <t xml:space="preserve">นพอ. กุลิสรา ตุ่นคำ</t>
  </si>
  <si>
    <t xml:space="preserve">6803890</t>
  </si>
  <si>
    <t xml:space="preserve">นพอ.(ช) จักรพงศ์ ปรีชาคม</t>
  </si>
  <si>
    <t xml:space="preserve">6803891</t>
  </si>
  <si>
    <t xml:space="preserve">นพอ. จิรัชยา ธีรประภานนท์</t>
  </si>
  <si>
    <t xml:space="preserve">6803892</t>
  </si>
  <si>
    <t xml:space="preserve">นพอ. ชนัญธิดา สินปรุ</t>
  </si>
  <si>
    <t xml:space="preserve">6803893</t>
  </si>
  <si>
    <t xml:space="preserve">นพอ. ฐิติกานต์ วัดจัง</t>
  </si>
  <si>
    <t xml:space="preserve">6803894</t>
  </si>
  <si>
    <t xml:space="preserve">นพอ. ฐิติณัฐดา แสนสุขเกษม</t>
  </si>
  <si>
    <t xml:space="preserve">6803895</t>
  </si>
  <si>
    <t xml:space="preserve">นพอ. ณัชชา ยอดรัตน์</t>
  </si>
  <si>
    <t xml:space="preserve">6803896</t>
  </si>
  <si>
    <t xml:space="preserve">นพอ. ณัชปวีย์ เยาวภา</t>
  </si>
  <si>
    <t xml:space="preserve">6803897</t>
  </si>
  <si>
    <t xml:space="preserve">นพอ. ณัฐญา ชลอปัญจศิลป์</t>
  </si>
  <si>
    <t xml:space="preserve">6803898</t>
  </si>
  <si>
    <t xml:space="preserve">นพอ. ณัฐณิชา ทิพย์โอสถ</t>
  </si>
  <si>
    <t xml:space="preserve">6803899</t>
  </si>
  <si>
    <t xml:space="preserve">นพอ. ณัฐณิชา มีปา</t>
  </si>
  <si>
    <t xml:space="preserve">6803900</t>
  </si>
  <si>
    <t xml:space="preserve">นพอ. ณัฐพัชร์ กาฬพรรณลึก</t>
  </si>
  <si>
    <t xml:space="preserve">6803901</t>
  </si>
  <si>
    <t xml:space="preserve">นพอ. ณัฐริกา วัฒนสมบัติ</t>
  </si>
  <si>
    <t xml:space="preserve">6803902</t>
  </si>
  <si>
    <t xml:space="preserve">นพอ.(ช) ณัฐวัฒน์ บ้งพรม</t>
  </si>
  <si>
    <t xml:space="preserve">6803903</t>
  </si>
  <si>
    <t xml:space="preserve">นพอ. ดลณภา คล้ายสุวรรณ์</t>
  </si>
  <si>
    <t xml:space="preserve">6803904</t>
  </si>
  <si>
    <t xml:space="preserve">นพอ.(ช) ธนธัส แซ่ว่อง</t>
  </si>
  <si>
    <t xml:space="preserve">6803905</t>
  </si>
  <si>
    <t xml:space="preserve">นพอ.(ช) ธนพล เสือน้อย</t>
  </si>
  <si>
    <t xml:space="preserve">6803906</t>
  </si>
  <si>
    <t xml:space="preserve">นพอ. ธัญวรัตน์ ยงคะวิสัย</t>
  </si>
  <si>
    <t xml:space="preserve">6803907</t>
  </si>
  <si>
    <t xml:space="preserve">นพอ. ธีราพร ประสิทธิภาพ</t>
  </si>
  <si>
    <t xml:space="preserve">6803908</t>
  </si>
  <si>
    <t xml:space="preserve">นพอ. นภัสสร บุญรัตน์</t>
  </si>
  <si>
    <t xml:space="preserve">6803909</t>
  </si>
  <si>
    <t xml:space="preserve">นพอ. นวพร แซ่ห้าว</t>
  </si>
  <si>
    <t xml:space="preserve">6803910</t>
  </si>
  <si>
    <t xml:space="preserve">นพอ. นวพร โอรัตนสถาพร</t>
  </si>
  <si>
    <t xml:space="preserve">6803911</t>
  </si>
  <si>
    <t xml:space="preserve">นพอ. นายิกา นกแก้ว</t>
  </si>
  <si>
    <t xml:space="preserve">6803912</t>
  </si>
  <si>
    <t xml:space="preserve">นพอ. เบญจวรรณ มณีแนว</t>
  </si>
  <si>
    <t xml:space="preserve">6803913</t>
  </si>
  <si>
    <t xml:space="preserve">นพอ.(ช) ปกรณ์เกียรติ ชูปู</t>
  </si>
  <si>
    <t xml:space="preserve">6803914</t>
  </si>
  <si>
    <t xml:space="preserve">นพอ. ปราณปริยา ธูปทอง</t>
  </si>
  <si>
    <t xml:space="preserve">6803915</t>
  </si>
  <si>
    <t xml:space="preserve">นพอ. ปัญชลีย์ ชื่นสวัสดิ์</t>
  </si>
  <si>
    <t xml:space="preserve">6803916</t>
  </si>
  <si>
    <t xml:space="preserve">นพอ. ปาลิดา ลือนาม</t>
  </si>
  <si>
    <t xml:space="preserve">6803917</t>
  </si>
  <si>
    <t xml:space="preserve">นพอ. ไปรยา อิ่มเหว่า</t>
  </si>
  <si>
    <t xml:space="preserve">6803918</t>
  </si>
  <si>
    <t xml:space="preserve">นพอ. พลอยธิดา รัตนกิจ</t>
  </si>
  <si>
    <t xml:space="preserve">6803919</t>
  </si>
  <si>
    <t xml:space="preserve">นพอ. พลอยปภัส มากใหม่</t>
  </si>
  <si>
    <t xml:space="preserve">6803920</t>
  </si>
  <si>
    <t xml:space="preserve">นพอ. พัทธ์ธีรา สมานมาก</t>
  </si>
  <si>
    <t xml:space="preserve">6803921</t>
  </si>
  <si>
    <t xml:space="preserve">นพอ. พิชญาภรณ์ บุตรวัง</t>
  </si>
  <si>
    <t xml:space="preserve">6803922</t>
  </si>
  <si>
    <t xml:space="preserve">นพอ. พินิษา อินทร์ศวร</t>
  </si>
  <si>
    <t xml:space="preserve">6803923</t>
  </si>
  <si>
    <t xml:space="preserve">นพอ. พิมพ์ณัฐชยา มนนามอญ</t>
  </si>
  <si>
    <t xml:space="preserve">6803924</t>
  </si>
  <si>
    <t xml:space="preserve">นพอ. พีรชา แสงไทย</t>
  </si>
  <si>
    <t xml:space="preserve">6803925</t>
  </si>
  <si>
    <t xml:space="preserve">นพอ. ภัทรพร ม่วงแคล้ว</t>
  </si>
  <si>
    <t xml:space="preserve">6803926</t>
  </si>
  <si>
    <t xml:space="preserve">นพอ. ภัทราพร ถึงกัน</t>
  </si>
  <si>
    <t xml:space="preserve">6803927</t>
  </si>
  <si>
    <t xml:space="preserve">นพอ. มณฑกาญจน์ กองจะริตร์</t>
  </si>
  <si>
    <t xml:space="preserve">6803928</t>
  </si>
  <si>
    <t xml:space="preserve">นพอ. มนัญชยา สุขพี้</t>
  </si>
  <si>
    <t xml:space="preserve">6803929</t>
  </si>
  <si>
    <t xml:space="preserve">นพอ. ยลภาม ลำดับวงพุฒิปาณ</t>
  </si>
  <si>
    <t xml:space="preserve">6803930</t>
  </si>
  <si>
    <t xml:space="preserve">นพอ. ยุพารัตน์ ดาวลาย</t>
  </si>
  <si>
    <t xml:space="preserve">6803931</t>
  </si>
  <si>
    <t xml:space="preserve">นพอ. โยษิตา ลากุล</t>
  </si>
  <si>
    <t xml:space="preserve">6803932</t>
  </si>
  <si>
    <t xml:space="preserve">นพอ. รตนพร สินทรัพย์</t>
  </si>
  <si>
    <t xml:space="preserve">6803933</t>
  </si>
  <si>
    <t xml:space="preserve">นพอ. รศิตา ปลื้มจิตร์</t>
  </si>
  <si>
    <t xml:space="preserve">6803934</t>
  </si>
  <si>
    <t xml:space="preserve">นพอ. วริศรา ออละมาลี</t>
  </si>
  <si>
    <t xml:space="preserve">6803935</t>
  </si>
  <si>
    <t xml:space="preserve">นพอ.(ช) วีรวัฒน์ ทัศน์จันดา</t>
  </si>
  <si>
    <t xml:space="preserve">6803936</t>
  </si>
  <si>
    <t xml:space="preserve">นพอ. ศศิชา แจ้งปกรณ์กิจ</t>
  </si>
  <si>
    <t xml:space="preserve">6803937</t>
  </si>
  <si>
    <t xml:space="preserve">นพอ. ศิริกานดา แหลมไธสง</t>
  </si>
  <si>
    <t xml:space="preserve">6803938</t>
  </si>
  <si>
    <t xml:space="preserve">นพอ. สุพิชชา เชื้อชาติ</t>
  </si>
  <si>
    <t xml:space="preserve">6803939</t>
  </si>
  <si>
    <t xml:space="preserve">นพอ. สุภาวดี สุวรรณโกศัย</t>
  </si>
  <si>
    <t xml:space="preserve">6803940</t>
  </si>
  <si>
    <t xml:space="preserve">นพอ. หฤทชนัน อุทกัง</t>
  </si>
  <si>
    <t xml:space="preserve">6803941</t>
  </si>
  <si>
    <t xml:space="preserve">นพอ.(ช) อครา คำท้วม</t>
  </si>
  <si>
    <t xml:space="preserve">6803942</t>
  </si>
  <si>
    <t xml:space="preserve">นพอ. อชิรญา อ่อนเปรี้ยว</t>
  </si>
  <si>
    <t xml:space="preserve">6803943</t>
  </si>
  <si>
    <t xml:space="preserve">นพอ. อภิสรา บุญเกื้อ</t>
  </si>
  <si>
    <t xml:space="preserve">6803944</t>
  </si>
  <si>
    <t xml:space="preserve">นพอ. อริสา หฤทัยบริรักษ์</t>
  </si>
  <si>
    <t xml:space="preserve">6803945</t>
  </si>
  <si>
    <t xml:space="preserve">นพอ. ไอลดา ศาลากิจ</t>
  </si>
  <si>
    <t xml:space="preserve">ทะเบียนนักเรียนพยาบาลทหารอากาศ (นพอ.) — ชั้นปีที่ 3 · ปีการศึกษา 2569</t>
  </si>
  <si>
    <t xml:space="preserve">6703818</t>
  </si>
  <si>
    <t xml:space="preserve">นพอ. กนกวรรณ จิณเสน</t>
  </si>
  <si>
    <t xml:space="preserve">ปี 3</t>
  </si>
  <si>
    <t xml:space="preserve">6703819</t>
  </si>
  <si>
    <t xml:space="preserve">นพอ. กรณิศ เกษแก้ว</t>
  </si>
  <si>
    <t xml:space="preserve">6703820</t>
  </si>
  <si>
    <t xml:space="preserve">นพอ. กฤตพร พิทักษ์</t>
  </si>
  <si>
    <t xml:space="preserve">6703821</t>
  </si>
  <si>
    <t xml:space="preserve">นพอ. กัญญณัช เดชธนาธันยกร</t>
  </si>
  <si>
    <t xml:space="preserve">6703822</t>
  </si>
  <si>
    <t xml:space="preserve">นพอ. กัณยวัลย์ เทียนบัญญัติ</t>
  </si>
  <si>
    <t xml:space="preserve">6703823</t>
  </si>
  <si>
    <t xml:space="preserve">นพอ. ข้าวขวัญ ดุจธรรมสาร</t>
  </si>
  <si>
    <t xml:space="preserve">6703824</t>
  </si>
  <si>
    <t xml:space="preserve">นพอ. จินต์จุฑา จงประเสริฐ</t>
  </si>
  <si>
    <t xml:space="preserve">6703825</t>
  </si>
  <si>
    <t xml:space="preserve">นพอ. จิราภา กลิ่นมณฑา</t>
  </si>
  <si>
    <t xml:space="preserve">6703826</t>
  </si>
  <si>
    <t xml:space="preserve">นพอ. ชณัฐธิดา ชูชีพ</t>
  </si>
  <si>
    <t xml:space="preserve">6703827</t>
  </si>
  <si>
    <t xml:space="preserve">นพอ. ชนัญญา เสาร์แดน</t>
  </si>
  <si>
    <t xml:space="preserve">6703828</t>
  </si>
  <si>
    <t xml:space="preserve">นพอ. ชวพร โมลานิล</t>
  </si>
  <si>
    <t xml:space="preserve">6703829</t>
  </si>
  <si>
    <t xml:space="preserve">นพอ. ชัญญาพัฒน์ ทัศนวิภาส</t>
  </si>
  <si>
    <t xml:space="preserve">6703830</t>
  </si>
  <si>
    <t xml:space="preserve">นพอ. โชติกา กัลศักดิ์ปภา</t>
  </si>
  <si>
    <t xml:space="preserve">6703831</t>
  </si>
  <si>
    <t xml:space="preserve">นพอ. ญาณิศา ตุ้งซี่</t>
  </si>
  <si>
    <t xml:space="preserve">6703832</t>
  </si>
  <si>
    <t xml:space="preserve">นพอ. ญาตาวี บุญภิละ</t>
  </si>
  <si>
    <t xml:space="preserve">6703833</t>
  </si>
  <si>
    <t xml:space="preserve">นพอ. ฐานิดา อ่อนล้อม</t>
  </si>
  <si>
    <t xml:space="preserve">6703834</t>
  </si>
  <si>
    <t xml:space="preserve">นพอ. ฑิตถากร แน่นอุดร</t>
  </si>
  <si>
    <t xml:space="preserve">6703835</t>
  </si>
  <si>
    <t xml:space="preserve">นพอ. ณัฐณิชา พิทักษ์สันติ</t>
  </si>
  <si>
    <t xml:space="preserve">6703836</t>
  </si>
  <si>
    <t xml:space="preserve">นพอ. ณัฐธิดา จันทร์อนันต์</t>
  </si>
  <si>
    <t xml:space="preserve">6703837</t>
  </si>
  <si>
    <t xml:space="preserve">นพอ. ณัฐธิดา เอียดดำ</t>
  </si>
  <si>
    <t xml:space="preserve">6703838</t>
  </si>
  <si>
    <t xml:space="preserve">นพอ.(ช) ณัฐพงษ์ วงษ์บัวงาม</t>
  </si>
  <si>
    <t xml:space="preserve">6703839</t>
  </si>
  <si>
    <t xml:space="preserve">นพอ. ณัฐวรรณ เคนสุวรรณ</t>
  </si>
  <si>
    <t xml:space="preserve">6703841</t>
  </si>
  <si>
    <t xml:space="preserve">นพอ.(ช) ธนภูมิ กระจ่างจาย</t>
  </si>
  <si>
    <t xml:space="preserve">6703842</t>
  </si>
  <si>
    <t xml:space="preserve">นพอ. ธัญชนก ธนะกองแก้ว</t>
  </si>
  <si>
    <t xml:space="preserve">6703843</t>
  </si>
  <si>
    <t xml:space="preserve">นพอ. ธัญชนิต ธนะกองแก้ว</t>
  </si>
  <si>
    <t xml:space="preserve">6703844</t>
  </si>
  <si>
    <t xml:space="preserve">นพอ. นพชกร ทิวแพ</t>
  </si>
  <si>
    <t xml:space="preserve">6703845</t>
  </si>
  <si>
    <t xml:space="preserve">นพอ.(ช) นภันต์กร อินทรแก้ว</t>
  </si>
  <si>
    <t xml:space="preserve">6703846</t>
  </si>
  <si>
    <t xml:space="preserve">นพอ. นัฐพร บูรพันธ์</t>
  </si>
  <si>
    <t xml:space="preserve">6703847</t>
  </si>
  <si>
    <t xml:space="preserve">นพอ. นันทัชพร สิงห์โต</t>
  </si>
  <si>
    <t xml:space="preserve">6703848</t>
  </si>
  <si>
    <t xml:space="preserve">นพอ. บุญสิตา สุสี</t>
  </si>
  <si>
    <t xml:space="preserve">6703849</t>
  </si>
  <si>
    <t xml:space="preserve">นพอ. ปภาดา สุจิณณานนท์</t>
  </si>
  <si>
    <t xml:space="preserve">6703851</t>
  </si>
  <si>
    <t xml:space="preserve">นพอ. ปุญญิศา ฤทธิ์หมุน</t>
  </si>
  <si>
    <t xml:space="preserve">6703852</t>
  </si>
  <si>
    <t xml:space="preserve">นพอ. ปุณยาพร เสือสมิง</t>
  </si>
  <si>
    <t xml:space="preserve">6703853</t>
  </si>
  <si>
    <t xml:space="preserve">นพอ. เปรมยุดา ศรีสุข</t>
  </si>
  <si>
    <t xml:space="preserve">6703854</t>
  </si>
  <si>
    <t xml:space="preserve">นพอ. พชรพร เพ็งภัตรา</t>
  </si>
  <si>
    <t xml:space="preserve">6703855</t>
  </si>
  <si>
    <t xml:space="preserve">นพอ. พนารัตน์ สร้างลิ้ม</t>
  </si>
  <si>
    <t xml:space="preserve">6703856</t>
  </si>
  <si>
    <t xml:space="preserve">นพอ. พรรณรายณ์ เย็นประเสริฐ</t>
  </si>
  <si>
    <t xml:space="preserve">6703857</t>
  </si>
  <si>
    <t xml:space="preserve">นพอ. พัณณิตา ศรีเพชร</t>
  </si>
  <si>
    <t xml:space="preserve">6703858</t>
  </si>
  <si>
    <t xml:space="preserve">นพอ. พิชชาภา เรืองจุ้ย</t>
  </si>
  <si>
    <t xml:space="preserve">6703859</t>
  </si>
  <si>
    <t xml:space="preserve">นพอ. พิชญาภา ไชยพงษ์</t>
  </si>
  <si>
    <t xml:space="preserve">6703860</t>
  </si>
  <si>
    <t xml:space="preserve">นพอ. พิมพ์มาดา วงศาโรจน์</t>
  </si>
  <si>
    <t xml:space="preserve">6703861</t>
  </si>
  <si>
    <t xml:space="preserve">นพอ. เพ็ญพิชชา จันทระพงษ์</t>
  </si>
  <si>
    <t xml:space="preserve">6703862</t>
  </si>
  <si>
    <t xml:space="preserve">นพอ. ภัทรภรณ์ ลิมป์กิตติเจริญ</t>
  </si>
  <si>
    <t xml:space="preserve">6703863</t>
  </si>
  <si>
    <t xml:space="preserve">นพอ. ยศสินี มีมงคล</t>
  </si>
  <si>
    <t xml:space="preserve">6703864</t>
  </si>
  <si>
    <t xml:space="preserve">นพอ. รมิตา ธัยยาวัฒน์</t>
  </si>
  <si>
    <t xml:space="preserve">6703865</t>
  </si>
  <si>
    <t xml:space="preserve">นพอ.(ช) โรจน์ศักดิ์ ทินนา</t>
  </si>
  <si>
    <t xml:space="preserve">6703866</t>
  </si>
  <si>
    <t xml:space="preserve">นพอ. วนัชพร กันทะตา</t>
  </si>
  <si>
    <t xml:space="preserve">6703867</t>
  </si>
  <si>
    <t xml:space="preserve">นพอ. วรางคณา ปางชาติ</t>
  </si>
  <si>
    <t xml:space="preserve">6703868</t>
  </si>
  <si>
    <t xml:space="preserve">นพอ. วราภรณ์ กาสี</t>
  </si>
  <si>
    <t xml:space="preserve">6703869</t>
  </si>
  <si>
    <t xml:space="preserve">นพอ. วิภาวี กลั่นเมฆ</t>
  </si>
  <si>
    <t xml:space="preserve">6703870</t>
  </si>
  <si>
    <t xml:space="preserve">นพอ. วิมลสิริ สิงห์ธนะ</t>
  </si>
  <si>
    <t xml:space="preserve">6703872</t>
  </si>
  <si>
    <t xml:space="preserve">นพอ. ศลิษา สุริยผัส</t>
  </si>
  <si>
    <t xml:space="preserve">6703873</t>
  </si>
  <si>
    <t xml:space="preserve">นพอ. ศุภางค์พักตร์ อักษรนิติ</t>
  </si>
  <si>
    <t xml:space="preserve">6703874</t>
  </si>
  <si>
    <t xml:space="preserve">นพอ. สรารัตน์ หาญจันทร์</t>
  </si>
  <si>
    <t xml:space="preserve">6703875</t>
  </si>
  <si>
    <t xml:space="preserve">นพอ. สิริณัฏฐ์ บรรจงพินิจ</t>
  </si>
  <si>
    <t xml:space="preserve">6703876</t>
  </si>
  <si>
    <t xml:space="preserve">นพอ.(ช) สืบสกุล ธรรมขันธ์</t>
  </si>
  <si>
    <t xml:space="preserve">6703877</t>
  </si>
  <si>
    <t xml:space="preserve">นพอ. สุชารัตน์ นิวงษา</t>
  </si>
  <si>
    <t xml:space="preserve">6703878</t>
  </si>
  <si>
    <t xml:space="preserve">นพอ. สุชาสินี ป้อมพยัคฆ์</t>
  </si>
  <si>
    <t xml:space="preserve">6703879</t>
  </si>
  <si>
    <t xml:space="preserve">นพอ. สุรภา ธีสุระ</t>
  </si>
  <si>
    <t xml:space="preserve">6703880</t>
  </si>
  <si>
    <t xml:space="preserve">นพอ. อริสรา ศรีโพธิ์</t>
  </si>
  <si>
    <t xml:space="preserve">6703881</t>
  </si>
  <si>
    <t xml:space="preserve">นพอ. อัจจิมา สุวรรณประเสริฐ</t>
  </si>
  <si>
    <t xml:space="preserve">ทะเบียนนักเรียนพยาบาลทหารอากาศ (นพอ.) — ชั้นปีที่ 4 · ปีการศึกษา 2569</t>
  </si>
  <si>
    <t xml:space="preserve">6603754</t>
  </si>
  <si>
    <t xml:space="preserve">นพอ. กรกนก วิไลลักษณ์</t>
  </si>
  <si>
    <t xml:space="preserve">ปี 4</t>
  </si>
  <si>
    <t xml:space="preserve">6603755</t>
  </si>
  <si>
    <t xml:space="preserve">นพอ. กฤตินันท์ ฉิมพาลี</t>
  </si>
  <si>
    <t xml:space="preserve">6603756</t>
  </si>
  <si>
    <t xml:space="preserve">นพอ. กันต์ฤทัย อินทรเทศ</t>
  </si>
  <si>
    <t xml:space="preserve">6603757</t>
  </si>
  <si>
    <t xml:space="preserve">นพอ. กัลยาณี นารีพล</t>
  </si>
  <si>
    <t xml:space="preserve">6603758</t>
  </si>
  <si>
    <t xml:space="preserve">นพอ. กาญจน์สุดา เหล่าบุตรดี</t>
  </si>
  <si>
    <t xml:space="preserve">6603759</t>
  </si>
  <si>
    <t xml:space="preserve">นพอ.(ช) เกรียงเดช รักถิ่นเดิม</t>
  </si>
  <si>
    <t xml:space="preserve">6603760</t>
  </si>
  <si>
    <t xml:space="preserve">นพอ. ฉัตรชนก กันสาตร</t>
  </si>
  <si>
    <t xml:space="preserve">6603761</t>
  </si>
  <si>
    <t xml:space="preserve">นพอ. ชญานิศ ทองแสงแก้ว</t>
  </si>
  <si>
    <t xml:space="preserve">6603762</t>
  </si>
  <si>
    <t xml:space="preserve">นพอ. ชฎาภา บุตรวงษ์</t>
  </si>
  <si>
    <t xml:space="preserve">6603763</t>
  </si>
  <si>
    <t xml:space="preserve">นพอ. ชนาภา บุญแสน</t>
  </si>
  <si>
    <t xml:space="preserve">6603764</t>
  </si>
  <si>
    <t xml:space="preserve">นพอ. ชวัลลักษณ์ อินทะชุบ</t>
  </si>
  <si>
    <t xml:space="preserve">6603765</t>
  </si>
  <si>
    <t xml:space="preserve">นพอ.(ช) ชายชาญ ไทยรินทร์</t>
  </si>
  <si>
    <t xml:space="preserve">6603766</t>
  </si>
  <si>
    <t xml:space="preserve">นพอ. ชุติกาญจน์ ชูตินันท์</t>
  </si>
  <si>
    <t xml:space="preserve">6603767</t>
  </si>
  <si>
    <t xml:space="preserve">นพอ. ณัฐนรินทร์ เต่าไธสง</t>
  </si>
  <si>
    <t xml:space="preserve">6603768</t>
  </si>
  <si>
    <t xml:space="preserve">นพอ.(ช) ณัฐวุฒิ แสงคร้าม</t>
  </si>
  <si>
    <t xml:space="preserve">6603769</t>
  </si>
  <si>
    <t xml:space="preserve">นพอ. ณิชนันท์ ศิรประภารัตน์</t>
  </si>
  <si>
    <t xml:space="preserve">6603770</t>
  </si>
  <si>
    <t xml:space="preserve">นพอ. ตรีสุคนธ์ ยศแก้ว</t>
  </si>
  <si>
    <t xml:space="preserve">6603771</t>
  </si>
  <si>
    <t xml:space="preserve">นพอ. ทวิกา สอิ้งแก้ว</t>
  </si>
  <si>
    <t xml:space="preserve">6603772</t>
  </si>
  <si>
    <t xml:space="preserve">นพอ. ทักษพร สอนดี</t>
  </si>
  <si>
    <t xml:space="preserve">6603773</t>
  </si>
  <si>
    <t xml:space="preserve">นพอ. ธัญชนก ไชยปรุง</t>
  </si>
  <si>
    <t xml:space="preserve">6603774</t>
  </si>
  <si>
    <t xml:space="preserve">นพอ. ธัญลักษณ์ ระลึกเย็น</t>
  </si>
  <si>
    <t xml:space="preserve">6603776</t>
  </si>
  <si>
    <t xml:space="preserve">นพอ. นภชนก อัครวุฒิญาณ</t>
  </si>
  <si>
    <t xml:space="preserve">6603777</t>
  </si>
  <si>
    <t xml:space="preserve">นพอ. นัชธิดา ไกรทองสุข</t>
  </si>
  <si>
    <t xml:space="preserve">6603778</t>
  </si>
  <si>
    <t xml:space="preserve">นพอ. นันท์นภัส เคนสุวรรณ</t>
  </si>
  <si>
    <t xml:space="preserve">6603779</t>
  </si>
  <si>
    <t xml:space="preserve">นพอ. นันทิยา แก้วก่อง</t>
  </si>
  <si>
    <t xml:space="preserve">6603780</t>
  </si>
  <si>
    <t xml:space="preserve">นพอ. นิศาชล ชุมจันทร์</t>
  </si>
  <si>
    <t xml:space="preserve">6603781</t>
  </si>
  <si>
    <t xml:space="preserve">นพอ. เนตรชนก จงไกรจักร</t>
  </si>
  <si>
    <t xml:space="preserve">6603782</t>
  </si>
  <si>
    <t xml:space="preserve">นพอ. เนตรชนก ชูหนู</t>
  </si>
  <si>
    <t xml:space="preserve">6603783</t>
  </si>
  <si>
    <t xml:space="preserve">นพอ.(ช) บูรพา สิริอุดมสิน</t>
  </si>
  <si>
    <t xml:space="preserve">6603784</t>
  </si>
  <si>
    <t xml:space="preserve">นพอ. เบญจมาภรณ์ เกตุมณี</t>
  </si>
  <si>
    <t xml:space="preserve">6603785</t>
  </si>
  <si>
    <t xml:space="preserve">นพอ. ประชาธิปไตย ปู่คาน</t>
  </si>
  <si>
    <t xml:space="preserve">6603786</t>
  </si>
  <si>
    <t xml:space="preserve">นพอ. ประภัสสร คีตวัฒนานนท์</t>
  </si>
  <si>
    <t xml:space="preserve">6603787</t>
  </si>
  <si>
    <t xml:space="preserve">นพอ. ปรียาภรณ์ ทองอำพันธ์</t>
  </si>
  <si>
    <t xml:space="preserve">6603788</t>
  </si>
  <si>
    <t xml:space="preserve">นพอ. ปาจีรนันท์ ปิงขุนทด</t>
  </si>
  <si>
    <t xml:space="preserve">6603789</t>
  </si>
  <si>
    <t xml:space="preserve">นพอ. ปานรัศมี ทองไทย</t>
  </si>
  <si>
    <t xml:space="preserve">6603790</t>
  </si>
  <si>
    <t xml:space="preserve">นพอ. ปิยะนันท์ ตุนก</t>
  </si>
  <si>
    <t xml:space="preserve">6603791</t>
  </si>
  <si>
    <t xml:space="preserve">นพอ. พรทิพย์ หงษ์มณี</t>
  </si>
  <si>
    <t xml:space="preserve">6603792</t>
  </si>
  <si>
    <t xml:space="preserve">นพอ. พลอยไพลิน สุทธหลวง</t>
  </si>
  <si>
    <t xml:space="preserve">6603793</t>
  </si>
  <si>
    <t xml:space="preserve">นพอ. พิชญาภัค สุวรรณสาม</t>
  </si>
  <si>
    <t xml:space="preserve">6603794</t>
  </si>
  <si>
    <t xml:space="preserve">นพอ. พิชามญชุ์ แก้วเมือง</t>
  </si>
  <si>
    <t xml:space="preserve">6603795</t>
  </si>
  <si>
    <t xml:space="preserve">นพอ. พิทยาภรณ์ คำลือ</t>
  </si>
  <si>
    <t xml:space="preserve">6603796</t>
  </si>
  <si>
    <t xml:space="preserve">นพอ. พิมพ์พิศา ไพศาลมรกต</t>
  </si>
  <si>
    <t xml:space="preserve">6603797</t>
  </si>
  <si>
    <t xml:space="preserve">นพอ. พิมพ์ลภัส ทองดีเลิศ</t>
  </si>
  <si>
    <t xml:space="preserve">6603798</t>
  </si>
  <si>
    <t xml:space="preserve">นพอ. วรรณพร ศรีด่านจาก</t>
  </si>
  <si>
    <t xml:space="preserve">6603799</t>
  </si>
  <si>
    <t xml:space="preserve">นพอ. วรัญญา สุวรรณ</t>
  </si>
  <si>
    <t xml:space="preserve">6603800</t>
  </si>
  <si>
    <t xml:space="preserve">นพอ. วารีริน ปิมปา</t>
  </si>
  <si>
    <t xml:space="preserve">6603801</t>
  </si>
  <si>
    <t xml:space="preserve">นพอ. วาสิตา ไทรทอง</t>
  </si>
  <si>
    <t xml:space="preserve">6603802</t>
  </si>
  <si>
    <t xml:space="preserve">นพอ. ศตพร คงศักดิ์</t>
  </si>
  <si>
    <t xml:space="preserve">6603803</t>
  </si>
  <si>
    <t xml:space="preserve">นพอ. ศิริพร คล้ายแก้ว</t>
  </si>
  <si>
    <t xml:space="preserve">6603804</t>
  </si>
  <si>
    <t xml:space="preserve">นพอ. ศิริวรรณ บริบูรณ์</t>
  </si>
  <si>
    <t xml:space="preserve">6603805</t>
  </si>
  <si>
    <t xml:space="preserve">นพอ. ศิวัชญา อยู่ชาติประเสริฐ</t>
  </si>
  <si>
    <t xml:space="preserve">6603806</t>
  </si>
  <si>
    <t xml:space="preserve">นพอ. ศุภิสรา หอมหวล</t>
  </si>
  <si>
    <t xml:space="preserve">6603807</t>
  </si>
  <si>
    <t xml:space="preserve">นพอ. สถิตย์ภรณ์ นวลขวัญ</t>
  </si>
  <si>
    <t xml:space="preserve">6603808</t>
  </si>
  <si>
    <t xml:space="preserve">นพอ. สุชานันท์ ดิสระมุณี</t>
  </si>
  <si>
    <t xml:space="preserve">6603809</t>
  </si>
  <si>
    <t xml:space="preserve">นพอ. สุณัญญา แก้วเจริญ</t>
  </si>
  <si>
    <t xml:space="preserve">6603810</t>
  </si>
  <si>
    <t xml:space="preserve">นพอ. สุพิชชา โคตวงค์</t>
  </si>
  <si>
    <t xml:space="preserve">6603811</t>
  </si>
  <si>
    <t xml:space="preserve">นพอ. สุภานัน ธรรมรักษา</t>
  </si>
  <si>
    <t xml:space="preserve">6603812</t>
  </si>
  <si>
    <t xml:space="preserve">นพอ.(ช) หัสฐากร หงษ์สุวรรณ</t>
  </si>
  <si>
    <t xml:space="preserve">6603813</t>
  </si>
  <si>
    <t xml:space="preserve">นพอ. อโณชา จันทรา</t>
  </si>
  <si>
    <t xml:space="preserve">6603814</t>
  </si>
  <si>
    <t xml:space="preserve">นพอ. อนัญญา สิงทิศ</t>
  </si>
  <si>
    <t xml:space="preserve">6603815</t>
  </si>
  <si>
    <t xml:space="preserve">นพอ. อภิรชา คำเจริญ</t>
  </si>
  <si>
    <t xml:space="preserve">6603816</t>
  </si>
  <si>
    <t xml:space="preserve">นพอ.(ช) อมฤทธิ์ สุทธิวิลัย</t>
  </si>
  <si>
    <t xml:space="preserve">6603817</t>
  </si>
  <si>
    <t xml:space="preserve">นพอ. อารียา สงวน</t>
  </si>
  <si>
    <t xml:space="preserve">บันทึกผลการประเมิน (นำเข้า/วางจากระบบ Google Sheets ชีต Assessments)</t>
  </si>
  <si>
    <t xml:space="preserve">วางข้อมูลตั้งแต่แถว 4 · ระดับความเสี่ยงใช้ค่า RED/ORANGE/YELLOW/GREEN · เพศใช้ ช/ญ</t>
  </si>
  <si>
    <t xml:space="preserve">วันเวลา</t>
  </si>
  <si>
    <t xml:space="preserve">รหัสประจำตัว</t>
  </si>
  <si>
    <t xml:space="preserve">ST-5</t>
  </si>
  <si>
    <t xml:space="preserve">2Q</t>
  </si>
  <si>
    <t xml:space="preserve">9Q</t>
  </si>
  <si>
    <t xml:space="preserve">9Q ข้อ9</t>
  </si>
  <si>
    <t xml:space="preserve">8Q</t>
  </si>
  <si>
    <t xml:space="preserve">ดัชนีกล้อง</t>
  </si>
  <si>
    <t xml:space="preserve">สัญญาณขัดแย้ง</t>
  </si>
  <si>
    <t xml:space="preserve">ระดับความเสี่ยง</t>
  </si>
  <si>
    <t xml:space="preserve">2569-07-16 09:12</t>
  </si>
  <si>
    <t xml:space="preserve">ไม่</t>
  </si>
  <si>
    <t xml:space="preserve">GREEN</t>
  </si>
  <si>
    <t xml:space="preserve">2569-07-16 09:20</t>
  </si>
  <si>
    <t xml:space="preserve">ใช่</t>
  </si>
  <si>
    <t xml:space="preserve">ORANGE</t>
  </si>
  <si>
    <t xml:space="preserve">2569-07-16 09:35</t>
  </si>
  <si>
    <t xml:space="preserve">RED</t>
  </si>
  <si>
    <t xml:space="preserve">รายงานสรุปผลการประเมินสุขภาพใจ — แยกประเภท</t>
  </si>
  <si>
    <t xml:space="preserve">ทุกตัวเลขคำนวณอัตโนมัติจากชีต 'บันทึกผลประเมิน' (อัปเดตเองเมื่อกรอกข้อมูลใหม่)</t>
  </si>
  <si>
    <t xml:space="preserve">๑) แยกตามระดับความเสี่ยง</t>
  </si>
  <si>
    <t xml:space="preserve">ระดับ</t>
  </si>
  <si>
    <t xml:space="preserve">จำนวน (ครั้ง)</t>
  </si>
  <si>
    <t xml:space="preserve">ความหมาย</t>
  </si>
  <si>
    <t xml:space="preserve">🔴 เสี่ยงสูงสุด — ติดต่อใน 1 ชม.</t>
  </si>
  <si>
    <t xml:space="preserve">🟠 สำคัญ — ติดต่อใน 24 ชม.</t>
  </si>
  <si>
    <t xml:space="preserve">YELLOW</t>
  </si>
  <si>
    <t xml:space="preserve">🟡 ควรชวนคุย — ใน 72 ชม.</t>
  </si>
  <si>
    <t xml:space="preserve">⚪ ปกติ</t>
  </si>
  <si>
    <t xml:space="preserve">รวม</t>
  </si>
  <si>
    <t xml:space="preserve">๒) แยกตามชั้นปี (นับเฉพาะเคสที่ต้องดูแล: แดง+ส้ม+เหลือง)</t>
  </si>
  <si>
    <t xml:space="preserve">ประเมินทั้งหมด</t>
  </si>
  <si>
    <t xml:space="preserve">แดง</t>
  </si>
  <si>
    <t xml:space="preserve">ส้ม</t>
  </si>
  <si>
    <t xml:space="preserve">เหลือง</t>
  </si>
  <si>
    <t xml:space="preserve">รวมต้องดูแล</t>
  </si>
  <si>
    <t xml:space="preserve">รวมทุกชั้นปี</t>
  </si>
  <si>
    <t xml:space="preserve">๓) แยกตามประเภทแบบประเมิน (จำนวนที่ทำ และเข้าเกณฑ์เฝ้าระวัง)</t>
  </si>
  <si>
    <t xml:space="preserve">แบบประเมิน</t>
  </si>
  <si>
    <t xml:space="preserve">จำนวนที่ทำ</t>
  </si>
  <si>
    <t xml:space="preserve">เข้าเกณฑ์เฝ้าระวัง</t>
  </si>
  <si>
    <t xml:space="preserve">เกณฑ์ที่ใช้นับ</t>
  </si>
  <si>
    <t xml:space="preserve">คะแนน ≥ 10 (เครียดมากที่สุด)</t>
  </si>
  <si>
    <t xml:space="preserve">มีข้อใดข้อหนึ่งเป็นบวก</t>
  </si>
  <si>
    <t xml:space="preserve">คะแนน ≥ 7</t>
  </si>
  <si>
    <t xml:space="preserve">มีความเสี่ยงฆ่าตัวตาย</t>
  </si>
  <si>
    <t xml:space="preserve">๔) แยกตามเพศ (กลุ่ม)</t>
  </si>
  <si>
    <t xml:space="preserve">ต้องดูแล (แดง+ส้ม+เหลือง)</t>
  </si>
  <si>
    <t xml:space="preserve">ชาย</t>
  </si>
  <si>
    <t xml:space="preserve">หญิง</t>
  </si>
  <si>
    <t xml:space="preserve">๕) สัญญาณจากกล้อง (ดัชนีควรชวนคุย)</t>
  </si>
  <si>
    <t xml:space="preserve">รายการ</t>
  </si>
  <si>
    <t xml:space="preserve">ค่า</t>
  </si>
  <si>
    <t xml:space="preserve">สัญญาณขัดแย้ง (ตอบปกติแต่ดัชนีสูง)</t>
  </si>
  <si>
    <t xml:space="preserve">ดัชนีกล้องเฉลี่ย (เฉพาะที่มีค่า)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</si>
</sst>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332"/>
      <name val="TH Sarabun New"/>
      <family val="0"/>
      <charset val="1"/>
    </font>
    <font>
      <sz val="12"/>
      <color rgb="FF666666"/>
      <name val="TH Sarabun New"/>
      <family val="0"/>
      <charset val="1"/>
    </font>
    <font>
      <b val="true"/>
      <sz val="14"/>
      <color rgb="FFFFFFFF"/>
      <name val="TH Sarabun New"/>
      <family val="0"/>
      <charset val="1"/>
    </font>
    <font>
      <sz val="13"/>
      <color rgb="FF000000"/>
      <name val="TH Sarabun New"/>
      <family val="0"/>
      <charset val="1"/>
    </font>
    <font>
      <b val="true"/>
      <sz val="17"/>
      <color rgb="FF1B4332"/>
      <name val="TH Sarabun New"/>
      <family val="0"/>
      <charset val="1"/>
    </font>
    <font>
      <b val="true"/>
      <sz val="15"/>
      <color rgb="FF1B4332"/>
      <name val="TH Sarabun New"/>
      <family val="0"/>
      <charset val="1"/>
    </font>
    <font>
      <b val="true"/>
      <sz val="13"/>
      <color rgb="FF000000"/>
      <name val="TH Sarabun New"/>
      <family val="0"/>
      <charset val="1"/>
    </font>
    <font>
      <b val="true"/>
      <sz val="14"/>
      <color rgb="FF3A2A08"/>
      <name val="TH Sarabun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1B4332"/>
      </patternFill>
    </fill>
    <fill>
      <patternFill patternType="solid">
        <fgColor rgb="FFFFF6D5"/>
        <bgColor rgb="FFEAF0EA"/>
      </patternFill>
    </fill>
    <fill>
      <patternFill patternType="solid">
        <fgColor rgb="FFEAF0EA"/>
        <bgColor rgb="FFFFF6D5"/>
      </patternFill>
    </fill>
    <fill>
      <patternFill patternType="solid">
        <fgColor rgb="FF1B4332"/>
        <bgColor rgb="FF1B3A5C"/>
      </patternFill>
    </fill>
    <fill>
      <patternFill patternType="solid">
        <fgColor rgb="FFC8A24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D5"/>
      <rgbColor rgb="FFEA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8A24B"/>
      <rgbColor rgb="FF1B3A5C"/>
      <rgbColor rgb="FF339966"/>
      <rgbColor rgb="FF003300"/>
      <rgbColor rgb="FF3A2A08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4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6.4" hidden="false" customHeight="false" outlineLevel="0" collapsed="false">
      <c r="A5" s="4" t="n">
        <v>1</v>
      </c>
      <c r="B5" s="5" t="s">
        <v>10</v>
      </c>
      <c r="C5" s="6" t="s">
        <v>11</v>
      </c>
      <c r="D5" s="4" t="s">
        <v>12</v>
      </c>
      <c r="E5" s="4"/>
      <c r="F5" s="4" t="s">
        <v>13</v>
      </c>
      <c r="G5" s="4"/>
      <c r="H5" s="4" t="s">
        <v>14</v>
      </c>
    </row>
    <row r="6" customFormat="false" ht="16.4" hidden="false" customHeight="false" outlineLevel="0" collapsed="false">
      <c r="A6" s="4" t="n">
        <v>2</v>
      </c>
      <c r="B6" s="5" t="s">
        <v>15</v>
      </c>
      <c r="C6" s="6" t="s">
        <v>16</v>
      </c>
      <c r="D6" s="4" t="s">
        <v>12</v>
      </c>
      <c r="E6" s="4"/>
      <c r="F6" s="4" t="s">
        <v>13</v>
      </c>
      <c r="G6" s="4"/>
      <c r="H6" s="4" t="s">
        <v>14</v>
      </c>
    </row>
    <row r="7" customFormat="false" ht="16.4" hidden="false" customHeight="false" outlineLevel="0" collapsed="false">
      <c r="A7" s="4" t="n">
        <v>3</v>
      </c>
      <c r="B7" s="5" t="s">
        <v>17</v>
      </c>
      <c r="C7" s="6" t="s">
        <v>18</v>
      </c>
      <c r="D7" s="4" t="s">
        <v>12</v>
      </c>
      <c r="E7" s="4"/>
      <c r="F7" s="4" t="s">
        <v>19</v>
      </c>
      <c r="G7" s="4"/>
      <c r="H7" s="4" t="s">
        <v>14</v>
      </c>
    </row>
    <row r="8" customFormat="false" ht="16.4" hidden="false" customHeight="false" outlineLevel="0" collapsed="false">
      <c r="A8" s="4" t="n">
        <v>4</v>
      </c>
      <c r="B8" s="5" t="s">
        <v>20</v>
      </c>
      <c r="C8" s="6" t="s">
        <v>21</v>
      </c>
      <c r="D8" s="4" t="s">
        <v>12</v>
      </c>
      <c r="E8" s="4"/>
      <c r="F8" s="4" t="s">
        <v>13</v>
      </c>
      <c r="G8" s="4"/>
      <c r="H8" s="4" t="s">
        <v>14</v>
      </c>
    </row>
    <row r="9" customFormat="false" ht="16.4" hidden="false" customHeight="false" outlineLevel="0" collapsed="false">
      <c r="A9" s="4" t="n">
        <v>5</v>
      </c>
      <c r="B9" s="5" t="s">
        <v>22</v>
      </c>
      <c r="C9" s="6" t="s">
        <v>23</v>
      </c>
      <c r="D9" s="4" t="s">
        <v>12</v>
      </c>
      <c r="E9" s="4"/>
      <c r="F9" s="4" t="s">
        <v>13</v>
      </c>
      <c r="G9" s="4"/>
      <c r="H9" s="4" t="s">
        <v>14</v>
      </c>
    </row>
    <row r="10" customFormat="false" ht="16.4" hidden="false" customHeight="false" outlineLevel="0" collapsed="false">
      <c r="A10" s="4" t="n">
        <v>6</v>
      </c>
      <c r="B10" s="5" t="s">
        <v>24</v>
      </c>
      <c r="C10" s="6" t="s">
        <v>25</v>
      </c>
      <c r="D10" s="4" t="s">
        <v>12</v>
      </c>
      <c r="E10" s="4"/>
      <c r="F10" s="4" t="s">
        <v>13</v>
      </c>
      <c r="G10" s="4"/>
      <c r="H10" s="4" t="s">
        <v>14</v>
      </c>
    </row>
    <row r="11" customFormat="false" ht="16.4" hidden="false" customHeight="false" outlineLevel="0" collapsed="false">
      <c r="A11" s="4" t="n">
        <v>7</v>
      </c>
      <c r="B11" s="5" t="s">
        <v>26</v>
      </c>
      <c r="C11" s="6" t="s">
        <v>27</v>
      </c>
      <c r="D11" s="4" t="s">
        <v>12</v>
      </c>
      <c r="E11" s="4"/>
      <c r="F11" s="4" t="s">
        <v>13</v>
      </c>
      <c r="G11" s="4"/>
      <c r="H11" s="4" t="s">
        <v>14</v>
      </c>
    </row>
    <row r="12" customFormat="false" ht="16.4" hidden="false" customHeight="false" outlineLevel="0" collapsed="false">
      <c r="A12" s="4" t="n">
        <v>8</v>
      </c>
      <c r="B12" s="5" t="s">
        <v>28</v>
      </c>
      <c r="C12" s="6" t="s">
        <v>29</v>
      </c>
      <c r="D12" s="4" t="s">
        <v>12</v>
      </c>
      <c r="E12" s="4"/>
      <c r="F12" s="4" t="s">
        <v>13</v>
      </c>
      <c r="G12" s="4"/>
      <c r="H12" s="4" t="s">
        <v>14</v>
      </c>
    </row>
    <row r="13" customFormat="false" ht="16.4" hidden="false" customHeight="false" outlineLevel="0" collapsed="false">
      <c r="A13" s="4" t="n">
        <v>9</v>
      </c>
      <c r="B13" s="5" t="s">
        <v>30</v>
      </c>
      <c r="C13" s="6" t="s">
        <v>31</v>
      </c>
      <c r="D13" s="4" t="s">
        <v>12</v>
      </c>
      <c r="E13" s="4"/>
      <c r="F13" s="4" t="s">
        <v>13</v>
      </c>
      <c r="G13" s="4"/>
      <c r="H13" s="4" t="s">
        <v>14</v>
      </c>
    </row>
    <row r="14" customFormat="false" ht="16.4" hidden="false" customHeight="false" outlineLevel="0" collapsed="false">
      <c r="A14" s="4" t="n">
        <v>10</v>
      </c>
      <c r="B14" s="5" t="s">
        <v>32</v>
      </c>
      <c r="C14" s="6" t="s">
        <v>33</v>
      </c>
      <c r="D14" s="4" t="s">
        <v>12</v>
      </c>
      <c r="E14" s="4"/>
      <c r="F14" s="4" t="s">
        <v>13</v>
      </c>
      <c r="G14" s="4"/>
      <c r="H14" s="4" t="s">
        <v>14</v>
      </c>
    </row>
    <row r="15" customFormat="false" ht="16.4" hidden="false" customHeight="false" outlineLevel="0" collapsed="false">
      <c r="A15" s="4" t="n">
        <v>11</v>
      </c>
      <c r="B15" s="5" t="s">
        <v>34</v>
      </c>
      <c r="C15" s="6" t="s">
        <v>35</v>
      </c>
      <c r="D15" s="4" t="s">
        <v>12</v>
      </c>
      <c r="E15" s="4"/>
      <c r="F15" s="4" t="s">
        <v>19</v>
      </c>
      <c r="G15" s="4"/>
      <c r="H15" s="4" t="s">
        <v>14</v>
      </c>
    </row>
    <row r="16" customFormat="false" ht="16.4" hidden="false" customHeight="false" outlineLevel="0" collapsed="false">
      <c r="A16" s="4" t="n">
        <v>12</v>
      </c>
      <c r="B16" s="5" t="s">
        <v>36</v>
      </c>
      <c r="C16" s="6" t="s">
        <v>37</v>
      </c>
      <c r="D16" s="4" t="s">
        <v>12</v>
      </c>
      <c r="E16" s="4"/>
      <c r="F16" s="4" t="s">
        <v>13</v>
      </c>
      <c r="G16" s="4"/>
      <c r="H16" s="4" t="s">
        <v>14</v>
      </c>
    </row>
    <row r="17" customFormat="false" ht="16.4" hidden="false" customHeight="false" outlineLevel="0" collapsed="false">
      <c r="A17" s="4" t="n">
        <v>13</v>
      </c>
      <c r="B17" s="5" t="s">
        <v>38</v>
      </c>
      <c r="C17" s="6" t="s">
        <v>39</v>
      </c>
      <c r="D17" s="4" t="s">
        <v>12</v>
      </c>
      <c r="E17" s="4"/>
      <c r="F17" s="4" t="s">
        <v>13</v>
      </c>
      <c r="G17" s="4"/>
      <c r="H17" s="4" t="s">
        <v>14</v>
      </c>
    </row>
    <row r="18" customFormat="false" ht="16.4" hidden="false" customHeight="false" outlineLevel="0" collapsed="false">
      <c r="A18" s="4" t="n">
        <v>14</v>
      </c>
      <c r="B18" s="5" t="s">
        <v>40</v>
      </c>
      <c r="C18" s="6" t="s">
        <v>41</v>
      </c>
      <c r="D18" s="4" t="s">
        <v>12</v>
      </c>
      <c r="E18" s="4"/>
      <c r="F18" s="4" t="s">
        <v>13</v>
      </c>
      <c r="G18" s="4"/>
      <c r="H18" s="4" t="s">
        <v>14</v>
      </c>
    </row>
    <row r="19" customFormat="false" ht="16.4" hidden="false" customHeight="false" outlineLevel="0" collapsed="false">
      <c r="A19" s="4" t="n">
        <v>15</v>
      </c>
      <c r="B19" s="5" t="s">
        <v>42</v>
      </c>
      <c r="C19" s="6" t="s">
        <v>43</v>
      </c>
      <c r="D19" s="4" t="s">
        <v>12</v>
      </c>
      <c r="E19" s="4"/>
      <c r="F19" s="4" t="s">
        <v>13</v>
      </c>
      <c r="G19" s="4"/>
      <c r="H19" s="4" t="s">
        <v>14</v>
      </c>
    </row>
    <row r="20" customFormat="false" ht="16.4" hidden="false" customHeight="false" outlineLevel="0" collapsed="false">
      <c r="A20" s="4" t="n">
        <v>16</v>
      </c>
      <c r="B20" s="5" t="s">
        <v>44</v>
      </c>
      <c r="C20" s="6" t="s">
        <v>45</v>
      </c>
      <c r="D20" s="4" t="s">
        <v>12</v>
      </c>
      <c r="E20" s="4"/>
      <c r="F20" s="4" t="s">
        <v>19</v>
      </c>
      <c r="G20" s="4"/>
      <c r="H20" s="4" t="s">
        <v>14</v>
      </c>
    </row>
    <row r="21" customFormat="false" ht="16.4" hidden="false" customHeight="false" outlineLevel="0" collapsed="false">
      <c r="A21" s="4" t="n">
        <v>17</v>
      </c>
      <c r="B21" s="5" t="s">
        <v>46</v>
      </c>
      <c r="C21" s="6" t="s">
        <v>47</v>
      </c>
      <c r="D21" s="4" t="s">
        <v>12</v>
      </c>
      <c r="E21" s="4"/>
      <c r="F21" s="4" t="s">
        <v>13</v>
      </c>
      <c r="G21" s="4"/>
      <c r="H21" s="4" t="s">
        <v>14</v>
      </c>
    </row>
    <row r="22" customFormat="false" ht="16.4" hidden="false" customHeight="false" outlineLevel="0" collapsed="false">
      <c r="A22" s="4" t="n">
        <v>18</v>
      </c>
      <c r="B22" s="5" t="s">
        <v>48</v>
      </c>
      <c r="C22" s="6" t="s">
        <v>49</v>
      </c>
      <c r="D22" s="4" t="s">
        <v>12</v>
      </c>
      <c r="E22" s="4"/>
      <c r="F22" s="4" t="s">
        <v>13</v>
      </c>
      <c r="G22" s="4"/>
      <c r="H22" s="4" t="s">
        <v>14</v>
      </c>
    </row>
    <row r="23" customFormat="false" ht="16.4" hidden="false" customHeight="false" outlineLevel="0" collapsed="false">
      <c r="A23" s="4" t="n">
        <v>19</v>
      </c>
      <c r="B23" s="5" t="s">
        <v>50</v>
      </c>
      <c r="C23" s="6" t="s">
        <v>51</v>
      </c>
      <c r="D23" s="4" t="s">
        <v>12</v>
      </c>
      <c r="E23" s="4"/>
      <c r="F23" s="4" t="s">
        <v>19</v>
      </c>
      <c r="G23" s="4"/>
      <c r="H23" s="4" t="s">
        <v>14</v>
      </c>
    </row>
    <row r="24" customFormat="false" ht="16.4" hidden="false" customHeight="false" outlineLevel="0" collapsed="false">
      <c r="A24" s="4" t="n">
        <v>20</v>
      </c>
      <c r="B24" s="5" t="s">
        <v>52</v>
      </c>
      <c r="C24" s="6" t="s">
        <v>53</v>
      </c>
      <c r="D24" s="4" t="s">
        <v>12</v>
      </c>
      <c r="E24" s="4"/>
      <c r="F24" s="4" t="s">
        <v>13</v>
      </c>
      <c r="G24" s="4"/>
      <c r="H24" s="4" t="s">
        <v>14</v>
      </c>
    </row>
    <row r="25" customFormat="false" ht="16.4" hidden="false" customHeight="false" outlineLevel="0" collapsed="false">
      <c r="A25" s="4" t="n">
        <v>21</v>
      </c>
      <c r="B25" s="5" t="s">
        <v>54</v>
      </c>
      <c r="C25" s="6" t="s">
        <v>55</v>
      </c>
      <c r="D25" s="4" t="s">
        <v>12</v>
      </c>
      <c r="E25" s="4"/>
      <c r="F25" s="4" t="s">
        <v>13</v>
      </c>
      <c r="G25" s="4"/>
      <c r="H25" s="4" t="s">
        <v>14</v>
      </c>
    </row>
    <row r="26" customFormat="false" ht="16.4" hidden="false" customHeight="false" outlineLevel="0" collapsed="false">
      <c r="A26" s="4" t="n">
        <v>22</v>
      </c>
      <c r="B26" s="5" t="s">
        <v>56</v>
      </c>
      <c r="C26" s="6" t="s">
        <v>57</v>
      </c>
      <c r="D26" s="4" t="s">
        <v>12</v>
      </c>
      <c r="E26" s="4"/>
      <c r="F26" s="4" t="s">
        <v>13</v>
      </c>
      <c r="G26" s="4"/>
      <c r="H26" s="4" t="s">
        <v>14</v>
      </c>
    </row>
    <row r="27" customFormat="false" ht="16.4" hidden="false" customHeight="false" outlineLevel="0" collapsed="false">
      <c r="A27" s="4" t="n">
        <v>23</v>
      </c>
      <c r="B27" s="5" t="s">
        <v>58</v>
      </c>
      <c r="C27" s="6" t="s">
        <v>59</v>
      </c>
      <c r="D27" s="4" t="s">
        <v>12</v>
      </c>
      <c r="E27" s="4"/>
      <c r="F27" s="4" t="s">
        <v>13</v>
      </c>
      <c r="G27" s="4"/>
      <c r="H27" s="4" t="s">
        <v>14</v>
      </c>
    </row>
    <row r="28" customFormat="false" ht="16.4" hidden="false" customHeight="false" outlineLevel="0" collapsed="false">
      <c r="A28" s="4" t="n">
        <v>24</v>
      </c>
      <c r="B28" s="5" t="s">
        <v>60</v>
      </c>
      <c r="C28" s="6" t="s">
        <v>61</v>
      </c>
      <c r="D28" s="4" t="s">
        <v>12</v>
      </c>
      <c r="E28" s="4"/>
      <c r="F28" s="4" t="s">
        <v>19</v>
      </c>
      <c r="G28" s="4"/>
      <c r="H28" s="4" t="s">
        <v>14</v>
      </c>
    </row>
    <row r="29" customFormat="false" ht="16.4" hidden="false" customHeight="false" outlineLevel="0" collapsed="false">
      <c r="A29" s="4" t="n">
        <v>25</v>
      </c>
      <c r="B29" s="5" t="s">
        <v>62</v>
      </c>
      <c r="C29" s="6" t="s">
        <v>63</v>
      </c>
      <c r="D29" s="4" t="s">
        <v>12</v>
      </c>
      <c r="E29" s="4"/>
      <c r="F29" s="4" t="s">
        <v>13</v>
      </c>
      <c r="G29" s="4"/>
      <c r="H29" s="4" t="s">
        <v>14</v>
      </c>
    </row>
    <row r="30" customFormat="false" ht="16.4" hidden="false" customHeight="false" outlineLevel="0" collapsed="false">
      <c r="A30" s="4" t="n">
        <v>26</v>
      </c>
      <c r="B30" s="5" t="s">
        <v>64</v>
      </c>
      <c r="C30" s="6" t="s">
        <v>65</v>
      </c>
      <c r="D30" s="4" t="s">
        <v>12</v>
      </c>
      <c r="E30" s="4"/>
      <c r="F30" s="4" t="s">
        <v>13</v>
      </c>
      <c r="G30" s="4"/>
      <c r="H30" s="4" t="s">
        <v>14</v>
      </c>
    </row>
    <row r="31" customFormat="false" ht="16.4" hidden="false" customHeight="false" outlineLevel="0" collapsed="false">
      <c r="A31" s="4" t="n">
        <v>27</v>
      </c>
      <c r="B31" s="5" t="s">
        <v>66</v>
      </c>
      <c r="C31" s="6" t="s">
        <v>67</v>
      </c>
      <c r="D31" s="4" t="s">
        <v>12</v>
      </c>
      <c r="E31" s="4"/>
      <c r="F31" s="4" t="s">
        <v>13</v>
      </c>
      <c r="G31" s="4"/>
      <c r="H31" s="4" t="s">
        <v>14</v>
      </c>
    </row>
    <row r="32" customFormat="false" ht="16.4" hidden="false" customHeight="false" outlineLevel="0" collapsed="false">
      <c r="A32" s="4" t="n">
        <v>28</v>
      </c>
      <c r="B32" s="5" t="s">
        <v>68</v>
      </c>
      <c r="C32" s="6" t="s">
        <v>69</v>
      </c>
      <c r="D32" s="4" t="s">
        <v>12</v>
      </c>
      <c r="E32" s="4"/>
      <c r="F32" s="4" t="s">
        <v>13</v>
      </c>
      <c r="G32" s="4"/>
      <c r="H32" s="4" t="s">
        <v>14</v>
      </c>
    </row>
    <row r="33" customFormat="false" ht="16.4" hidden="false" customHeight="false" outlineLevel="0" collapsed="false">
      <c r="A33" s="4" t="n">
        <v>29</v>
      </c>
      <c r="B33" s="5" t="s">
        <v>70</v>
      </c>
      <c r="C33" s="6" t="s">
        <v>71</v>
      </c>
      <c r="D33" s="4" t="s">
        <v>12</v>
      </c>
      <c r="E33" s="4"/>
      <c r="F33" s="4" t="s">
        <v>13</v>
      </c>
      <c r="G33" s="4"/>
      <c r="H33" s="4" t="s">
        <v>14</v>
      </c>
    </row>
    <row r="34" customFormat="false" ht="16.4" hidden="false" customHeight="false" outlineLevel="0" collapsed="false">
      <c r="A34" s="4" t="n">
        <v>30</v>
      </c>
      <c r="B34" s="5" t="s">
        <v>72</v>
      </c>
      <c r="C34" s="6" t="s">
        <v>73</v>
      </c>
      <c r="D34" s="4" t="s">
        <v>12</v>
      </c>
      <c r="E34" s="4"/>
      <c r="F34" s="4" t="s">
        <v>13</v>
      </c>
      <c r="G34" s="4"/>
      <c r="H34" s="4" t="s">
        <v>14</v>
      </c>
    </row>
    <row r="35" customFormat="false" ht="16.4" hidden="false" customHeight="false" outlineLevel="0" collapsed="false">
      <c r="A35" s="4" t="n">
        <v>31</v>
      </c>
      <c r="B35" s="5" t="s">
        <v>74</v>
      </c>
      <c r="C35" s="6" t="s">
        <v>75</v>
      </c>
      <c r="D35" s="4" t="s">
        <v>12</v>
      </c>
      <c r="E35" s="4"/>
      <c r="F35" s="4" t="s">
        <v>13</v>
      </c>
      <c r="G35" s="4"/>
      <c r="H35" s="4" t="s">
        <v>14</v>
      </c>
    </row>
    <row r="36" customFormat="false" ht="16.4" hidden="false" customHeight="false" outlineLevel="0" collapsed="false">
      <c r="A36" s="4" t="n">
        <v>32</v>
      </c>
      <c r="B36" s="5" t="s">
        <v>76</v>
      </c>
      <c r="C36" s="6" t="s">
        <v>77</v>
      </c>
      <c r="D36" s="4" t="s">
        <v>12</v>
      </c>
      <c r="E36" s="4"/>
      <c r="F36" s="4" t="s">
        <v>13</v>
      </c>
      <c r="G36" s="4"/>
      <c r="H36" s="4" t="s">
        <v>14</v>
      </c>
    </row>
    <row r="37" customFormat="false" ht="16.4" hidden="false" customHeight="false" outlineLevel="0" collapsed="false">
      <c r="A37" s="4" t="n">
        <v>33</v>
      </c>
      <c r="B37" s="5" t="s">
        <v>78</v>
      </c>
      <c r="C37" s="6" t="s">
        <v>79</v>
      </c>
      <c r="D37" s="4" t="s">
        <v>12</v>
      </c>
      <c r="E37" s="4"/>
      <c r="F37" s="4" t="s">
        <v>13</v>
      </c>
      <c r="G37" s="4"/>
      <c r="H37" s="4" t="s">
        <v>14</v>
      </c>
    </row>
    <row r="38" customFormat="false" ht="16.4" hidden="false" customHeight="false" outlineLevel="0" collapsed="false">
      <c r="A38" s="4" t="n">
        <v>34</v>
      </c>
      <c r="B38" s="5" t="s">
        <v>80</v>
      </c>
      <c r="C38" s="6" t="s">
        <v>81</v>
      </c>
      <c r="D38" s="4" t="s">
        <v>12</v>
      </c>
      <c r="E38" s="4"/>
      <c r="F38" s="4" t="s">
        <v>19</v>
      </c>
      <c r="G38" s="4"/>
      <c r="H38" s="4" t="s">
        <v>14</v>
      </c>
    </row>
    <row r="39" customFormat="false" ht="16.4" hidden="false" customHeight="false" outlineLevel="0" collapsed="false">
      <c r="A39" s="4" t="n">
        <v>35</v>
      </c>
      <c r="B39" s="5" t="s">
        <v>82</v>
      </c>
      <c r="C39" s="6" t="s">
        <v>83</v>
      </c>
      <c r="D39" s="4" t="s">
        <v>12</v>
      </c>
      <c r="E39" s="4"/>
      <c r="F39" s="4" t="s">
        <v>13</v>
      </c>
      <c r="G39" s="4"/>
      <c r="H39" s="4" t="s">
        <v>14</v>
      </c>
    </row>
    <row r="40" customFormat="false" ht="16.4" hidden="false" customHeight="false" outlineLevel="0" collapsed="false">
      <c r="A40" s="4" t="n">
        <v>36</v>
      </c>
      <c r="B40" s="5" t="s">
        <v>84</v>
      </c>
      <c r="C40" s="6" t="s">
        <v>85</v>
      </c>
      <c r="D40" s="4" t="s">
        <v>12</v>
      </c>
      <c r="E40" s="4"/>
      <c r="F40" s="4" t="s">
        <v>13</v>
      </c>
      <c r="G40" s="4"/>
      <c r="H40" s="4" t="s">
        <v>14</v>
      </c>
    </row>
    <row r="41" customFormat="false" ht="16.4" hidden="false" customHeight="false" outlineLevel="0" collapsed="false">
      <c r="A41" s="4" t="n">
        <v>37</v>
      </c>
      <c r="B41" s="5" t="s">
        <v>86</v>
      </c>
      <c r="C41" s="6" t="s">
        <v>87</v>
      </c>
      <c r="D41" s="4" t="s">
        <v>12</v>
      </c>
      <c r="E41" s="4"/>
      <c r="F41" s="4" t="s">
        <v>19</v>
      </c>
      <c r="G41" s="4"/>
      <c r="H41" s="4" t="s">
        <v>14</v>
      </c>
    </row>
    <row r="42" customFormat="false" ht="16.4" hidden="false" customHeight="false" outlineLevel="0" collapsed="false">
      <c r="A42" s="4" t="n">
        <v>38</v>
      </c>
      <c r="B42" s="5" t="s">
        <v>88</v>
      </c>
      <c r="C42" s="6" t="s">
        <v>89</v>
      </c>
      <c r="D42" s="4" t="s">
        <v>12</v>
      </c>
      <c r="E42" s="4"/>
      <c r="F42" s="4" t="s">
        <v>13</v>
      </c>
      <c r="G42" s="4"/>
      <c r="H42" s="4" t="s">
        <v>14</v>
      </c>
    </row>
    <row r="43" customFormat="false" ht="16.4" hidden="false" customHeight="false" outlineLevel="0" collapsed="false">
      <c r="A43" s="4" t="n">
        <v>39</v>
      </c>
      <c r="B43" s="5" t="s">
        <v>90</v>
      </c>
      <c r="C43" s="6" t="s">
        <v>91</v>
      </c>
      <c r="D43" s="4" t="s">
        <v>12</v>
      </c>
      <c r="E43" s="4"/>
      <c r="F43" s="4" t="s">
        <v>13</v>
      </c>
      <c r="G43" s="4"/>
      <c r="H43" s="4" t="s">
        <v>14</v>
      </c>
    </row>
    <row r="44" customFormat="false" ht="16.4" hidden="false" customHeight="false" outlineLevel="0" collapsed="false">
      <c r="A44" s="4" t="n">
        <v>40</v>
      </c>
      <c r="B44" s="5" t="s">
        <v>92</v>
      </c>
      <c r="C44" s="6" t="s">
        <v>93</v>
      </c>
      <c r="D44" s="4" t="s">
        <v>12</v>
      </c>
      <c r="E44" s="4"/>
      <c r="F44" s="4" t="s">
        <v>13</v>
      </c>
      <c r="G44" s="4"/>
      <c r="H44" s="4" t="s">
        <v>14</v>
      </c>
    </row>
    <row r="45" customFormat="false" ht="16.4" hidden="false" customHeight="false" outlineLevel="0" collapsed="false">
      <c r="A45" s="4" t="n">
        <v>41</v>
      </c>
      <c r="B45" s="5" t="s">
        <v>94</v>
      </c>
      <c r="C45" s="6" t="s">
        <v>95</v>
      </c>
      <c r="D45" s="4" t="s">
        <v>12</v>
      </c>
      <c r="E45" s="4"/>
      <c r="F45" s="4" t="s">
        <v>13</v>
      </c>
      <c r="G45" s="4"/>
      <c r="H45" s="4" t="s">
        <v>14</v>
      </c>
    </row>
    <row r="46" customFormat="false" ht="16.4" hidden="false" customHeight="false" outlineLevel="0" collapsed="false">
      <c r="A46" s="4" t="n">
        <v>42</v>
      </c>
      <c r="B46" s="5" t="s">
        <v>96</v>
      </c>
      <c r="C46" s="6" t="s">
        <v>97</v>
      </c>
      <c r="D46" s="4" t="s">
        <v>12</v>
      </c>
      <c r="E46" s="4"/>
      <c r="F46" s="4" t="s">
        <v>13</v>
      </c>
      <c r="G46" s="4"/>
      <c r="H46" s="4" t="s">
        <v>14</v>
      </c>
    </row>
    <row r="47" customFormat="false" ht="16.4" hidden="false" customHeight="false" outlineLevel="0" collapsed="false">
      <c r="A47" s="4" t="n">
        <v>43</v>
      </c>
      <c r="B47" s="5" t="s">
        <v>98</v>
      </c>
      <c r="C47" s="6" t="s">
        <v>99</v>
      </c>
      <c r="D47" s="4" t="s">
        <v>12</v>
      </c>
      <c r="E47" s="4"/>
      <c r="F47" s="4" t="s">
        <v>13</v>
      </c>
      <c r="G47" s="4"/>
      <c r="H47" s="4" t="s">
        <v>14</v>
      </c>
    </row>
    <row r="48" customFormat="false" ht="16.4" hidden="false" customHeight="false" outlineLevel="0" collapsed="false">
      <c r="A48" s="4" t="n">
        <v>44</v>
      </c>
      <c r="B48" s="5" t="s">
        <v>100</v>
      </c>
      <c r="C48" s="6" t="s">
        <v>101</v>
      </c>
      <c r="D48" s="4" t="s">
        <v>12</v>
      </c>
      <c r="E48" s="4"/>
      <c r="F48" s="4" t="s">
        <v>13</v>
      </c>
      <c r="G48" s="4"/>
      <c r="H48" s="4" t="s">
        <v>14</v>
      </c>
    </row>
    <row r="49" customFormat="false" ht="16.4" hidden="false" customHeight="false" outlineLevel="0" collapsed="false">
      <c r="A49" s="4" t="n">
        <v>45</v>
      </c>
      <c r="B49" s="5" t="s">
        <v>102</v>
      </c>
      <c r="C49" s="6" t="s">
        <v>103</v>
      </c>
      <c r="D49" s="4" t="s">
        <v>12</v>
      </c>
      <c r="E49" s="4"/>
      <c r="F49" s="4" t="s">
        <v>13</v>
      </c>
      <c r="G49" s="4"/>
      <c r="H49" s="4" t="s">
        <v>14</v>
      </c>
    </row>
    <row r="50" customFormat="false" ht="16.4" hidden="false" customHeight="false" outlineLevel="0" collapsed="false">
      <c r="A50" s="4" t="n">
        <v>46</v>
      </c>
      <c r="B50" s="5" t="s">
        <v>104</v>
      </c>
      <c r="C50" s="6" t="s">
        <v>105</v>
      </c>
      <c r="D50" s="4" t="s">
        <v>12</v>
      </c>
      <c r="E50" s="4"/>
      <c r="F50" s="4" t="s">
        <v>13</v>
      </c>
      <c r="G50" s="4"/>
      <c r="H50" s="4" t="s">
        <v>14</v>
      </c>
    </row>
    <row r="51" customFormat="false" ht="16.4" hidden="false" customHeight="false" outlineLevel="0" collapsed="false">
      <c r="A51" s="4" t="n">
        <v>47</v>
      </c>
      <c r="B51" s="5" t="s">
        <v>106</v>
      </c>
      <c r="C51" s="6" t="s">
        <v>107</v>
      </c>
      <c r="D51" s="4" t="s">
        <v>12</v>
      </c>
      <c r="E51" s="4"/>
      <c r="F51" s="4" t="s">
        <v>13</v>
      </c>
      <c r="G51" s="4"/>
      <c r="H51" s="4" t="s">
        <v>14</v>
      </c>
    </row>
    <row r="52" customFormat="false" ht="16.4" hidden="false" customHeight="false" outlineLevel="0" collapsed="false">
      <c r="A52" s="4" t="n">
        <v>48</v>
      </c>
      <c r="B52" s="5" t="s">
        <v>108</v>
      </c>
      <c r="C52" s="6" t="s">
        <v>109</v>
      </c>
      <c r="D52" s="4" t="s">
        <v>12</v>
      </c>
      <c r="E52" s="4"/>
      <c r="F52" s="4" t="s">
        <v>13</v>
      </c>
      <c r="G52" s="4"/>
      <c r="H52" s="4" t="s">
        <v>14</v>
      </c>
    </row>
    <row r="53" customFormat="false" ht="16.4" hidden="false" customHeight="false" outlineLevel="0" collapsed="false">
      <c r="A53" s="4" t="n">
        <v>49</v>
      </c>
      <c r="B53" s="5" t="s">
        <v>110</v>
      </c>
      <c r="C53" s="6" t="s">
        <v>111</v>
      </c>
      <c r="D53" s="4" t="s">
        <v>12</v>
      </c>
      <c r="E53" s="4"/>
      <c r="F53" s="4" t="s">
        <v>13</v>
      </c>
      <c r="G53" s="4"/>
      <c r="H53" s="4" t="s">
        <v>14</v>
      </c>
    </row>
    <row r="54" customFormat="false" ht="16.4" hidden="false" customHeight="false" outlineLevel="0" collapsed="false">
      <c r="A54" s="4" t="n">
        <v>50</v>
      </c>
      <c r="B54" s="5" t="s">
        <v>112</v>
      </c>
      <c r="C54" s="6" t="s">
        <v>113</v>
      </c>
      <c r="D54" s="4" t="s">
        <v>12</v>
      </c>
      <c r="E54" s="4"/>
      <c r="F54" s="4" t="s">
        <v>13</v>
      </c>
      <c r="G54" s="4"/>
      <c r="H54" s="4" t="s">
        <v>14</v>
      </c>
    </row>
    <row r="55" customFormat="false" ht="16.4" hidden="false" customHeight="false" outlineLevel="0" collapsed="false">
      <c r="A55" s="4" t="n">
        <v>51</v>
      </c>
      <c r="B55" s="5" t="s">
        <v>114</v>
      </c>
      <c r="C55" s="6" t="s">
        <v>115</v>
      </c>
      <c r="D55" s="4" t="s">
        <v>12</v>
      </c>
      <c r="E55" s="4"/>
      <c r="F55" s="4" t="s">
        <v>13</v>
      </c>
      <c r="G55" s="4"/>
      <c r="H55" s="4" t="s">
        <v>14</v>
      </c>
    </row>
    <row r="56" customFormat="false" ht="16.4" hidden="false" customHeight="false" outlineLevel="0" collapsed="false">
      <c r="A56" s="4" t="n">
        <v>52</v>
      </c>
      <c r="B56" s="5" t="s">
        <v>116</v>
      </c>
      <c r="C56" s="6" t="s">
        <v>117</v>
      </c>
      <c r="D56" s="4" t="s">
        <v>12</v>
      </c>
      <c r="E56" s="4"/>
      <c r="F56" s="4" t="s">
        <v>19</v>
      </c>
      <c r="G56" s="4"/>
      <c r="H56" s="4" t="s">
        <v>14</v>
      </c>
    </row>
    <row r="57" customFormat="false" ht="16.4" hidden="false" customHeight="false" outlineLevel="0" collapsed="false">
      <c r="A57" s="4" t="n">
        <v>53</v>
      </c>
      <c r="B57" s="5" t="s">
        <v>118</v>
      </c>
      <c r="C57" s="6" t="s">
        <v>119</v>
      </c>
      <c r="D57" s="4" t="s">
        <v>12</v>
      </c>
      <c r="E57" s="4"/>
      <c r="F57" s="4" t="s">
        <v>13</v>
      </c>
      <c r="G57" s="4"/>
      <c r="H57" s="4" t="s">
        <v>14</v>
      </c>
    </row>
    <row r="58" customFormat="false" ht="16.4" hidden="false" customHeight="false" outlineLevel="0" collapsed="false">
      <c r="A58" s="4" t="n">
        <v>54</v>
      </c>
      <c r="B58" s="5" t="s">
        <v>120</v>
      </c>
      <c r="C58" s="6" t="s">
        <v>121</v>
      </c>
      <c r="D58" s="4" t="s">
        <v>12</v>
      </c>
      <c r="E58" s="4"/>
      <c r="F58" s="4" t="s">
        <v>13</v>
      </c>
      <c r="G58" s="4"/>
      <c r="H58" s="4" t="s">
        <v>14</v>
      </c>
    </row>
    <row r="59" customFormat="false" ht="16.4" hidden="false" customHeight="false" outlineLevel="0" collapsed="false">
      <c r="A59" s="4" t="n">
        <v>55</v>
      </c>
      <c r="B59" s="5" t="s">
        <v>122</v>
      </c>
      <c r="C59" s="6" t="s">
        <v>123</v>
      </c>
      <c r="D59" s="4" t="s">
        <v>12</v>
      </c>
      <c r="E59" s="4"/>
      <c r="F59" s="4" t="s">
        <v>13</v>
      </c>
      <c r="G59" s="4"/>
      <c r="H59" s="4" t="s">
        <v>14</v>
      </c>
    </row>
    <row r="60" customFormat="false" ht="16.4" hidden="false" customHeight="false" outlineLevel="0" collapsed="false">
      <c r="A60" s="4" t="n">
        <v>56</v>
      </c>
      <c r="B60" s="5" t="s">
        <v>124</v>
      </c>
      <c r="C60" s="6" t="s">
        <v>125</v>
      </c>
      <c r="D60" s="4" t="s">
        <v>12</v>
      </c>
      <c r="E60" s="4"/>
      <c r="F60" s="4" t="s">
        <v>13</v>
      </c>
      <c r="G60" s="4"/>
      <c r="H60" s="4" t="s">
        <v>14</v>
      </c>
    </row>
    <row r="61" customFormat="false" ht="16.4" hidden="false" customHeight="false" outlineLevel="0" collapsed="false">
      <c r="A61" s="4" t="n">
        <v>57</v>
      </c>
      <c r="B61" s="5" t="s">
        <v>126</v>
      </c>
      <c r="C61" s="6" t="s">
        <v>127</v>
      </c>
      <c r="D61" s="4" t="s">
        <v>12</v>
      </c>
      <c r="E61" s="4"/>
      <c r="F61" s="4" t="s">
        <v>13</v>
      </c>
      <c r="G61" s="4"/>
      <c r="H61" s="4" t="s">
        <v>14</v>
      </c>
    </row>
    <row r="62" customFormat="false" ht="16.4" hidden="false" customHeight="false" outlineLevel="0" collapsed="false">
      <c r="A62" s="4" t="n">
        <v>58</v>
      </c>
      <c r="B62" s="5" t="s">
        <v>128</v>
      </c>
      <c r="C62" s="6" t="s">
        <v>129</v>
      </c>
      <c r="D62" s="4" t="s">
        <v>12</v>
      </c>
      <c r="E62" s="4"/>
      <c r="F62" s="4" t="s">
        <v>13</v>
      </c>
      <c r="G62" s="4"/>
      <c r="H62" s="4" t="s">
        <v>14</v>
      </c>
    </row>
    <row r="63" customFormat="false" ht="16.4" hidden="false" customHeight="false" outlineLevel="0" collapsed="false">
      <c r="A63" s="4" t="n">
        <v>59</v>
      </c>
      <c r="B63" s="5" t="s">
        <v>130</v>
      </c>
      <c r="C63" s="6" t="s">
        <v>131</v>
      </c>
      <c r="D63" s="4" t="s">
        <v>12</v>
      </c>
      <c r="E63" s="4"/>
      <c r="F63" s="4" t="s">
        <v>13</v>
      </c>
      <c r="G63" s="4"/>
      <c r="H63" s="4" t="s">
        <v>14</v>
      </c>
    </row>
    <row r="64" customFormat="false" ht="16.4" hidden="false" customHeight="false" outlineLevel="0" collapsed="false">
      <c r="A64" s="4" t="n">
        <v>60</v>
      </c>
      <c r="B64" s="5" t="s">
        <v>132</v>
      </c>
      <c r="C64" s="6" t="s">
        <v>133</v>
      </c>
      <c r="D64" s="4" t="s">
        <v>12</v>
      </c>
      <c r="E64" s="4"/>
      <c r="F64" s="4" t="s">
        <v>13</v>
      </c>
      <c r="G64" s="4"/>
      <c r="H64" s="4" t="s">
        <v>14</v>
      </c>
    </row>
    <row r="65" customFormat="false" ht="16.4" hidden="false" customHeight="false" outlineLevel="0" collapsed="false">
      <c r="A65" s="4" t="n">
        <v>61</v>
      </c>
      <c r="B65" s="5" t="s">
        <v>134</v>
      </c>
      <c r="C65" s="6" t="s">
        <v>135</v>
      </c>
      <c r="D65" s="4" t="s">
        <v>12</v>
      </c>
      <c r="E65" s="4"/>
      <c r="F65" s="4" t="s">
        <v>13</v>
      </c>
      <c r="G65" s="4"/>
      <c r="H65" s="4" t="s">
        <v>14</v>
      </c>
    </row>
    <row r="66" customFormat="false" ht="16.4" hidden="false" customHeight="false" outlineLevel="0" collapsed="false">
      <c r="A66" s="4" t="n">
        <v>62</v>
      </c>
      <c r="B66" s="5" t="s">
        <v>136</v>
      </c>
      <c r="C66" s="6" t="s">
        <v>137</v>
      </c>
      <c r="D66" s="4" t="s">
        <v>12</v>
      </c>
      <c r="E66" s="4"/>
      <c r="F66" s="4" t="s">
        <v>13</v>
      </c>
      <c r="G66" s="4"/>
      <c r="H66" s="4" t="s">
        <v>14</v>
      </c>
    </row>
    <row r="67" customFormat="false" ht="16.4" hidden="false" customHeight="false" outlineLevel="0" collapsed="false">
      <c r="A67" s="4" t="n">
        <v>63</v>
      </c>
      <c r="B67" s="5" t="s">
        <v>138</v>
      </c>
      <c r="C67" s="6" t="s">
        <v>139</v>
      </c>
      <c r="D67" s="4" t="s">
        <v>12</v>
      </c>
      <c r="E67" s="4"/>
      <c r="F67" s="4" t="s">
        <v>13</v>
      </c>
      <c r="G67" s="4"/>
      <c r="H67" s="4" t="s">
        <v>14</v>
      </c>
    </row>
    <row r="68" customFormat="false" ht="16.4" hidden="false" customHeight="false" outlineLevel="0" collapsed="false">
      <c r="A68" s="4" t="n">
        <v>64</v>
      </c>
      <c r="B68" s="5" t="s">
        <v>140</v>
      </c>
      <c r="C68" s="6" t="s">
        <v>141</v>
      </c>
      <c r="D68" s="4" t="s">
        <v>12</v>
      </c>
      <c r="E68" s="4"/>
      <c r="F68" s="4" t="s">
        <v>13</v>
      </c>
      <c r="G68" s="4"/>
      <c r="H68" s="4" t="s">
        <v>14</v>
      </c>
    </row>
  </sheetData>
  <dataValidations count="2">
    <dataValidation allowBlank="true" errorStyle="stop" operator="between" showDropDown="false" showErrorMessage="false" showInputMessage="false" sqref="F5:F68" type="list">
      <formula1>"ช,ญ"</formula1>
      <formula2>0</formula2>
    </dataValidation>
    <dataValidation allowBlank="true" errorStyle="stop" operator="between" showDropDown="false" showErrorMessage="false" showInputMessage="false" sqref="H5:H68" type="list">
      <formula1>"กำลังศึกษา,พักการศึกษา,พ้นสภาพ"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142</v>
      </c>
    </row>
    <row r="2" customFormat="false" ht="15" hidden="false" customHeight="false" outlineLevel="0" collapsed="false">
      <c r="A2" s="2" t="s">
        <v>1</v>
      </c>
    </row>
    <row r="4" customFormat="false" ht="34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6.4" hidden="false" customHeight="false" outlineLevel="0" collapsed="false">
      <c r="A5" s="4" t="n">
        <v>1</v>
      </c>
      <c r="B5" s="5" t="s">
        <v>143</v>
      </c>
      <c r="C5" s="6" t="s">
        <v>144</v>
      </c>
      <c r="D5" s="4" t="s">
        <v>145</v>
      </c>
      <c r="E5" s="4"/>
      <c r="F5" s="4" t="s">
        <v>13</v>
      </c>
      <c r="G5" s="4"/>
      <c r="H5" s="4" t="s">
        <v>14</v>
      </c>
    </row>
    <row r="6" customFormat="false" ht="16.4" hidden="false" customHeight="false" outlineLevel="0" collapsed="false">
      <c r="A6" s="4" t="n">
        <v>2</v>
      </c>
      <c r="B6" s="5" t="s">
        <v>146</v>
      </c>
      <c r="C6" s="6" t="s">
        <v>147</v>
      </c>
      <c r="D6" s="4" t="s">
        <v>145</v>
      </c>
      <c r="E6" s="4"/>
      <c r="F6" s="4" t="s">
        <v>13</v>
      </c>
      <c r="G6" s="4"/>
      <c r="H6" s="4" t="s">
        <v>14</v>
      </c>
    </row>
    <row r="7" customFormat="false" ht="16.4" hidden="false" customHeight="false" outlineLevel="0" collapsed="false">
      <c r="A7" s="4" t="n">
        <v>3</v>
      </c>
      <c r="B7" s="5" t="s">
        <v>148</v>
      </c>
      <c r="C7" s="6" t="s">
        <v>149</v>
      </c>
      <c r="D7" s="4" t="s">
        <v>145</v>
      </c>
      <c r="E7" s="4"/>
      <c r="F7" s="4" t="s">
        <v>13</v>
      </c>
      <c r="G7" s="4"/>
      <c r="H7" s="4" t="s">
        <v>14</v>
      </c>
    </row>
    <row r="8" customFormat="false" ht="16.4" hidden="false" customHeight="false" outlineLevel="0" collapsed="false">
      <c r="A8" s="4" t="n">
        <v>4</v>
      </c>
      <c r="B8" s="5" t="s">
        <v>150</v>
      </c>
      <c r="C8" s="6" t="s">
        <v>151</v>
      </c>
      <c r="D8" s="4" t="s">
        <v>145</v>
      </c>
      <c r="E8" s="4"/>
      <c r="F8" s="4" t="s">
        <v>19</v>
      </c>
      <c r="G8" s="4"/>
      <c r="H8" s="4" t="s">
        <v>14</v>
      </c>
    </row>
    <row r="9" customFormat="false" ht="16.4" hidden="false" customHeight="false" outlineLevel="0" collapsed="false">
      <c r="A9" s="4" t="n">
        <v>5</v>
      </c>
      <c r="B9" s="5" t="s">
        <v>152</v>
      </c>
      <c r="C9" s="6" t="s">
        <v>153</v>
      </c>
      <c r="D9" s="4" t="s">
        <v>145</v>
      </c>
      <c r="E9" s="4"/>
      <c r="F9" s="4" t="s">
        <v>13</v>
      </c>
      <c r="G9" s="4"/>
      <c r="H9" s="4" t="s">
        <v>14</v>
      </c>
    </row>
    <row r="10" customFormat="false" ht="16.4" hidden="false" customHeight="false" outlineLevel="0" collapsed="false">
      <c r="A10" s="4" t="n">
        <v>6</v>
      </c>
      <c r="B10" s="5" t="s">
        <v>154</v>
      </c>
      <c r="C10" s="6" t="s">
        <v>155</v>
      </c>
      <c r="D10" s="4" t="s">
        <v>145</v>
      </c>
      <c r="E10" s="4"/>
      <c r="F10" s="4" t="s">
        <v>13</v>
      </c>
      <c r="G10" s="4"/>
      <c r="H10" s="4" t="s">
        <v>14</v>
      </c>
    </row>
    <row r="11" customFormat="false" ht="16.4" hidden="false" customHeight="false" outlineLevel="0" collapsed="false">
      <c r="A11" s="4" t="n">
        <v>7</v>
      </c>
      <c r="B11" s="5" t="s">
        <v>156</v>
      </c>
      <c r="C11" s="6" t="s">
        <v>157</v>
      </c>
      <c r="D11" s="4" t="s">
        <v>145</v>
      </c>
      <c r="E11" s="4"/>
      <c r="F11" s="4" t="s">
        <v>13</v>
      </c>
      <c r="G11" s="4"/>
      <c r="H11" s="4" t="s">
        <v>14</v>
      </c>
    </row>
    <row r="12" customFormat="false" ht="16.4" hidden="false" customHeight="false" outlineLevel="0" collapsed="false">
      <c r="A12" s="4" t="n">
        <v>8</v>
      </c>
      <c r="B12" s="5" t="s">
        <v>158</v>
      </c>
      <c r="C12" s="6" t="s">
        <v>159</v>
      </c>
      <c r="D12" s="4" t="s">
        <v>145</v>
      </c>
      <c r="E12" s="4"/>
      <c r="F12" s="4" t="s">
        <v>13</v>
      </c>
      <c r="G12" s="4"/>
      <c r="H12" s="4" t="s">
        <v>14</v>
      </c>
    </row>
    <row r="13" customFormat="false" ht="16.4" hidden="false" customHeight="false" outlineLevel="0" collapsed="false">
      <c r="A13" s="4" t="n">
        <v>9</v>
      </c>
      <c r="B13" s="5" t="s">
        <v>160</v>
      </c>
      <c r="C13" s="6" t="s">
        <v>161</v>
      </c>
      <c r="D13" s="4" t="s">
        <v>145</v>
      </c>
      <c r="E13" s="4"/>
      <c r="F13" s="4" t="s">
        <v>19</v>
      </c>
      <c r="G13" s="4"/>
      <c r="H13" s="4" t="s">
        <v>14</v>
      </c>
    </row>
    <row r="14" customFormat="false" ht="16.4" hidden="false" customHeight="false" outlineLevel="0" collapsed="false">
      <c r="A14" s="4" t="n">
        <v>10</v>
      </c>
      <c r="B14" s="5" t="s">
        <v>162</v>
      </c>
      <c r="C14" s="6" t="s">
        <v>163</v>
      </c>
      <c r="D14" s="4" t="s">
        <v>145</v>
      </c>
      <c r="E14" s="4"/>
      <c r="F14" s="4" t="s">
        <v>13</v>
      </c>
      <c r="G14" s="4"/>
      <c r="H14" s="4" t="s">
        <v>14</v>
      </c>
    </row>
    <row r="15" customFormat="false" ht="16.4" hidden="false" customHeight="false" outlineLevel="0" collapsed="false">
      <c r="A15" s="4" t="n">
        <v>11</v>
      </c>
      <c r="B15" s="5" t="s">
        <v>164</v>
      </c>
      <c r="C15" s="6" t="s">
        <v>165</v>
      </c>
      <c r="D15" s="4" t="s">
        <v>145</v>
      </c>
      <c r="E15" s="4"/>
      <c r="F15" s="4" t="s">
        <v>13</v>
      </c>
      <c r="G15" s="4"/>
      <c r="H15" s="4" t="s">
        <v>14</v>
      </c>
    </row>
    <row r="16" customFormat="false" ht="16.4" hidden="false" customHeight="false" outlineLevel="0" collapsed="false">
      <c r="A16" s="4" t="n">
        <v>12</v>
      </c>
      <c r="B16" s="5" t="s">
        <v>166</v>
      </c>
      <c r="C16" s="6" t="s">
        <v>167</v>
      </c>
      <c r="D16" s="4" t="s">
        <v>145</v>
      </c>
      <c r="E16" s="4"/>
      <c r="F16" s="4" t="s">
        <v>13</v>
      </c>
      <c r="G16" s="4"/>
      <c r="H16" s="4" t="s">
        <v>14</v>
      </c>
    </row>
    <row r="17" customFormat="false" ht="16.4" hidden="false" customHeight="false" outlineLevel="0" collapsed="false">
      <c r="A17" s="4" t="n">
        <v>13</v>
      </c>
      <c r="B17" s="5" t="s">
        <v>168</v>
      </c>
      <c r="C17" s="6" t="s">
        <v>169</v>
      </c>
      <c r="D17" s="4" t="s">
        <v>145</v>
      </c>
      <c r="E17" s="4"/>
      <c r="F17" s="4" t="s">
        <v>13</v>
      </c>
      <c r="G17" s="4"/>
      <c r="H17" s="4" t="s">
        <v>14</v>
      </c>
    </row>
    <row r="18" customFormat="false" ht="16.4" hidden="false" customHeight="false" outlineLevel="0" collapsed="false">
      <c r="A18" s="4" t="n">
        <v>14</v>
      </c>
      <c r="B18" s="5" t="s">
        <v>170</v>
      </c>
      <c r="C18" s="6" t="s">
        <v>171</v>
      </c>
      <c r="D18" s="4" t="s">
        <v>145</v>
      </c>
      <c r="E18" s="4"/>
      <c r="F18" s="4" t="s">
        <v>13</v>
      </c>
      <c r="G18" s="4"/>
      <c r="H18" s="4" t="s">
        <v>14</v>
      </c>
    </row>
    <row r="19" customFormat="false" ht="16.4" hidden="false" customHeight="false" outlineLevel="0" collapsed="false">
      <c r="A19" s="4" t="n">
        <v>15</v>
      </c>
      <c r="B19" s="5" t="s">
        <v>172</v>
      </c>
      <c r="C19" s="6" t="s">
        <v>173</v>
      </c>
      <c r="D19" s="4" t="s">
        <v>145</v>
      </c>
      <c r="E19" s="4"/>
      <c r="F19" s="4" t="s">
        <v>13</v>
      </c>
      <c r="G19" s="4"/>
      <c r="H19" s="4" t="s">
        <v>14</v>
      </c>
    </row>
    <row r="20" customFormat="false" ht="16.4" hidden="false" customHeight="false" outlineLevel="0" collapsed="false">
      <c r="A20" s="4" t="n">
        <v>16</v>
      </c>
      <c r="B20" s="5" t="s">
        <v>174</v>
      </c>
      <c r="C20" s="6" t="s">
        <v>175</v>
      </c>
      <c r="D20" s="4" t="s">
        <v>145</v>
      </c>
      <c r="E20" s="4"/>
      <c r="F20" s="4" t="s">
        <v>13</v>
      </c>
      <c r="G20" s="4"/>
      <c r="H20" s="4" t="s">
        <v>14</v>
      </c>
    </row>
    <row r="21" customFormat="false" ht="16.4" hidden="false" customHeight="false" outlineLevel="0" collapsed="false">
      <c r="A21" s="4" t="n">
        <v>17</v>
      </c>
      <c r="B21" s="5" t="s">
        <v>176</v>
      </c>
      <c r="C21" s="6" t="s">
        <v>177</v>
      </c>
      <c r="D21" s="4" t="s">
        <v>145</v>
      </c>
      <c r="E21" s="4"/>
      <c r="F21" s="4" t="s">
        <v>13</v>
      </c>
      <c r="G21" s="4"/>
      <c r="H21" s="4" t="s">
        <v>14</v>
      </c>
    </row>
    <row r="22" customFormat="false" ht="16.4" hidden="false" customHeight="false" outlineLevel="0" collapsed="false">
      <c r="A22" s="4" t="n">
        <v>18</v>
      </c>
      <c r="B22" s="5" t="s">
        <v>178</v>
      </c>
      <c r="C22" s="6" t="s">
        <v>179</v>
      </c>
      <c r="D22" s="4" t="s">
        <v>145</v>
      </c>
      <c r="E22" s="4"/>
      <c r="F22" s="4" t="s">
        <v>13</v>
      </c>
      <c r="G22" s="4"/>
      <c r="H22" s="4" t="s">
        <v>14</v>
      </c>
    </row>
    <row r="23" customFormat="false" ht="16.4" hidden="false" customHeight="false" outlineLevel="0" collapsed="false">
      <c r="A23" s="4" t="n">
        <v>19</v>
      </c>
      <c r="B23" s="5" t="s">
        <v>180</v>
      </c>
      <c r="C23" s="6" t="s">
        <v>181</v>
      </c>
      <c r="D23" s="4" t="s">
        <v>145</v>
      </c>
      <c r="E23" s="4"/>
      <c r="F23" s="4" t="s">
        <v>13</v>
      </c>
      <c r="G23" s="4"/>
      <c r="H23" s="4" t="s">
        <v>14</v>
      </c>
    </row>
    <row r="24" customFormat="false" ht="16.4" hidden="false" customHeight="false" outlineLevel="0" collapsed="false">
      <c r="A24" s="4" t="n">
        <v>20</v>
      </c>
      <c r="B24" s="5" t="s">
        <v>182</v>
      </c>
      <c r="C24" s="6" t="s">
        <v>183</v>
      </c>
      <c r="D24" s="4" t="s">
        <v>145</v>
      </c>
      <c r="E24" s="4"/>
      <c r="F24" s="4" t="s">
        <v>13</v>
      </c>
      <c r="G24" s="4"/>
      <c r="H24" s="4" t="s">
        <v>14</v>
      </c>
    </row>
    <row r="25" customFormat="false" ht="16.4" hidden="false" customHeight="false" outlineLevel="0" collapsed="false">
      <c r="A25" s="4" t="n">
        <v>21</v>
      </c>
      <c r="B25" s="5" t="s">
        <v>184</v>
      </c>
      <c r="C25" s="6" t="s">
        <v>185</v>
      </c>
      <c r="D25" s="4" t="s">
        <v>145</v>
      </c>
      <c r="E25" s="4"/>
      <c r="F25" s="4" t="s">
        <v>19</v>
      </c>
      <c r="G25" s="4"/>
      <c r="H25" s="4" t="s">
        <v>14</v>
      </c>
    </row>
    <row r="26" customFormat="false" ht="16.4" hidden="false" customHeight="false" outlineLevel="0" collapsed="false">
      <c r="A26" s="4" t="n">
        <v>22</v>
      </c>
      <c r="B26" s="5" t="s">
        <v>186</v>
      </c>
      <c r="C26" s="6" t="s">
        <v>187</v>
      </c>
      <c r="D26" s="4" t="s">
        <v>145</v>
      </c>
      <c r="E26" s="4"/>
      <c r="F26" s="4" t="s">
        <v>13</v>
      </c>
      <c r="G26" s="4"/>
      <c r="H26" s="4" t="s">
        <v>14</v>
      </c>
    </row>
    <row r="27" customFormat="false" ht="16.4" hidden="false" customHeight="false" outlineLevel="0" collapsed="false">
      <c r="A27" s="4" t="n">
        <v>23</v>
      </c>
      <c r="B27" s="5" t="s">
        <v>188</v>
      </c>
      <c r="C27" s="6" t="s">
        <v>189</v>
      </c>
      <c r="D27" s="4" t="s">
        <v>145</v>
      </c>
      <c r="E27" s="4"/>
      <c r="F27" s="4" t="s">
        <v>19</v>
      </c>
      <c r="G27" s="4"/>
      <c r="H27" s="4" t="s">
        <v>14</v>
      </c>
    </row>
    <row r="28" customFormat="false" ht="16.4" hidden="false" customHeight="false" outlineLevel="0" collapsed="false">
      <c r="A28" s="4" t="n">
        <v>24</v>
      </c>
      <c r="B28" s="5" t="s">
        <v>190</v>
      </c>
      <c r="C28" s="6" t="s">
        <v>191</v>
      </c>
      <c r="D28" s="4" t="s">
        <v>145</v>
      </c>
      <c r="E28" s="4"/>
      <c r="F28" s="4" t="s">
        <v>19</v>
      </c>
      <c r="G28" s="4"/>
      <c r="H28" s="4" t="s">
        <v>14</v>
      </c>
    </row>
    <row r="29" customFormat="false" ht="16.4" hidden="false" customHeight="false" outlineLevel="0" collapsed="false">
      <c r="A29" s="4" t="n">
        <v>25</v>
      </c>
      <c r="B29" s="5" t="s">
        <v>192</v>
      </c>
      <c r="C29" s="6" t="s">
        <v>193</v>
      </c>
      <c r="D29" s="4" t="s">
        <v>145</v>
      </c>
      <c r="E29" s="4"/>
      <c r="F29" s="4" t="s">
        <v>13</v>
      </c>
      <c r="G29" s="4"/>
      <c r="H29" s="4" t="s">
        <v>14</v>
      </c>
    </row>
    <row r="30" customFormat="false" ht="16.4" hidden="false" customHeight="false" outlineLevel="0" collapsed="false">
      <c r="A30" s="4" t="n">
        <v>26</v>
      </c>
      <c r="B30" s="5" t="s">
        <v>194</v>
      </c>
      <c r="C30" s="6" t="s">
        <v>195</v>
      </c>
      <c r="D30" s="4" t="s">
        <v>145</v>
      </c>
      <c r="E30" s="4"/>
      <c r="F30" s="4" t="s">
        <v>13</v>
      </c>
      <c r="G30" s="4"/>
      <c r="H30" s="4" t="s">
        <v>14</v>
      </c>
    </row>
    <row r="31" customFormat="false" ht="16.4" hidden="false" customHeight="false" outlineLevel="0" collapsed="false">
      <c r="A31" s="4" t="n">
        <v>27</v>
      </c>
      <c r="B31" s="5" t="s">
        <v>196</v>
      </c>
      <c r="C31" s="6" t="s">
        <v>197</v>
      </c>
      <c r="D31" s="4" t="s">
        <v>145</v>
      </c>
      <c r="E31" s="4"/>
      <c r="F31" s="4" t="s">
        <v>13</v>
      </c>
      <c r="G31" s="4"/>
      <c r="H31" s="4" t="s">
        <v>14</v>
      </c>
    </row>
    <row r="32" customFormat="false" ht="16.4" hidden="false" customHeight="false" outlineLevel="0" collapsed="false">
      <c r="A32" s="4" t="n">
        <v>28</v>
      </c>
      <c r="B32" s="5" t="s">
        <v>198</v>
      </c>
      <c r="C32" s="6" t="s">
        <v>199</v>
      </c>
      <c r="D32" s="4" t="s">
        <v>145</v>
      </c>
      <c r="E32" s="4"/>
      <c r="F32" s="4" t="s">
        <v>13</v>
      </c>
      <c r="G32" s="4"/>
      <c r="H32" s="4" t="s">
        <v>14</v>
      </c>
    </row>
    <row r="33" customFormat="false" ht="16.4" hidden="false" customHeight="false" outlineLevel="0" collapsed="false">
      <c r="A33" s="4" t="n">
        <v>29</v>
      </c>
      <c r="B33" s="5" t="s">
        <v>200</v>
      </c>
      <c r="C33" s="6" t="s">
        <v>201</v>
      </c>
      <c r="D33" s="4" t="s">
        <v>145</v>
      </c>
      <c r="E33" s="4"/>
      <c r="F33" s="4" t="s">
        <v>13</v>
      </c>
      <c r="G33" s="4"/>
      <c r="H33" s="4" t="s">
        <v>14</v>
      </c>
    </row>
    <row r="34" customFormat="false" ht="16.4" hidden="false" customHeight="false" outlineLevel="0" collapsed="false">
      <c r="A34" s="4" t="n">
        <v>30</v>
      </c>
      <c r="B34" s="5" t="s">
        <v>202</v>
      </c>
      <c r="C34" s="6" t="s">
        <v>203</v>
      </c>
      <c r="D34" s="4" t="s">
        <v>145</v>
      </c>
      <c r="E34" s="4"/>
      <c r="F34" s="4" t="s">
        <v>13</v>
      </c>
      <c r="G34" s="4"/>
      <c r="H34" s="4" t="s">
        <v>14</v>
      </c>
    </row>
    <row r="35" customFormat="false" ht="16.4" hidden="false" customHeight="false" outlineLevel="0" collapsed="false">
      <c r="A35" s="4" t="n">
        <v>31</v>
      </c>
      <c r="B35" s="5" t="s">
        <v>204</v>
      </c>
      <c r="C35" s="6" t="s">
        <v>205</v>
      </c>
      <c r="D35" s="4" t="s">
        <v>145</v>
      </c>
      <c r="E35" s="4"/>
      <c r="F35" s="4" t="s">
        <v>13</v>
      </c>
      <c r="G35" s="4"/>
      <c r="H35" s="4" t="s">
        <v>14</v>
      </c>
    </row>
    <row r="36" customFormat="false" ht="16.4" hidden="false" customHeight="false" outlineLevel="0" collapsed="false">
      <c r="A36" s="4" t="n">
        <v>32</v>
      </c>
      <c r="B36" s="5" t="s">
        <v>206</v>
      </c>
      <c r="C36" s="6" t="s">
        <v>207</v>
      </c>
      <c r="D36" s="4" t="s">
        <v>145</v>
      </c>
      <c r="E36" s="4"/>
      <c r="F36" s="4" t="s">
        <v>19</v>
      </c>
      <c r="G36" s="4"/>
      <c r="H36" s="4" t="s">
        <v>14</v>
      </c>
    </row>
    <row r="37" customFormat="false" ht="16.4" hidden="false" customHeight="false" outlineLevel="0" collapsed="false">
      <c r="A37" s="4" t="n">
        <v>33</v>
      </c>
      <c r="B37" s="5" t="s">
        <v>208</v>
      </c>
      <c r="C37" s="6" t="s">
        <v>209</v>
      </c>
      <c r="D37" s="4" t="s">
        <v>145</v>
      </c>
      <c r="E37" s="4"/>
      <c r="F37" s="4" t="s">
        <v>13</v>
      </c>
      <c r="G37" s="4"/>
      <c r="H37" s="4" t="s">
        <v>14</v>
      </c>
    </row>
    <row r="38" customFormat="false" ht="16.4" hidden="false" customHeight="false" outlineLevel="0" collapsed="false">
      <c r="A38" s="4" t="n">
        <v>34</v>
      </c>
      <c r="B38" s="5" t="s">
        <v>210</v>
      </c>
      <c r="C38" s="6" t="s">
        <v>211</v>
      </c>
      <c r="D38" s="4" t="s">
        <v>145</v>
      </c>
      <c r="E38" s="4"/>
      <c r="F38" s="4" t="s">
        <v>13</v>
      </c>
      <c r="G38" s="4"/>
      <c r="H38" s="4" t="s">
        <v>14</v>
      </c>
    </row>
    <row r="39" customFormat="false" ht="16.4" hidden="false" customHeight="false" outlineLevel="0" collapsed="false">
      <c r="A39" s="4" t="n">
        <v>35</v>
      </c>
      <c r="B39" s="5" t="s">
        <v>212</v>
      </c>
      <c r="C39" s="6" t="s">
        <v>213</v>
      </c>
      <c r="D39" s="4" t="s">
        <v>145</v>
      </c>
      <c r="E39" s="4"/>
      <c r="F39" s="4" t="s">
        <v>13</v>
      </c>
      <c r="G39" s="4"/>
      <c r="H39" s="4" t="s">
        <v>14</v>
      </c>
    </row>
    <row r="40" customFormat="false" ht="16.4" hidden="false" customHeight="false" outlineLevel="0" collapsed="false">
      <c r="A40" s="4" t="n">
        <v>36</v>
      </c>
      <c r="B40" s="5" t="s">
        <v>214</v>
      </c>
      <c r="C40" s="6" t="s">
        <v>215</v>
      </c>
      <c r="D40" s="4" t="s">
        <v>145</v>
      </c>
      <c r="E40" s="4"/>
      <c r="F40" s="4" t="s">
        <v>13</v>
      </c>
      <c r="G40" s="4"/>
      <c r="H40" s="4" t="s">
        <v>14</v>
      </c>
    </row>
    <row r="41" customFormat="false" ht="16.4" hidden="false" customHeight="false" outlineLevel="0" collapsed="false">
      <c r="A41" s="4" t="n">
        <v>37</v>
      </c>
      <c r="B41" s="5" t="s">
        <v>216</v>
      </c>
      <c r="C41" s="6" t="s">
        <v>217</v>
      </c>
      <c r="D41" s="4" t="s">
        <v>145</v>
      </c>
      <c r="E41" s="4"/>
      <c r="F41" s="4" t="s">
        <v>13</v>
      </c>
      <c r="G41" s="4"/>
      <c r="H41" s="4" t="s">
        <v>14</v>
      </c>
    </row>
    <row r="42" customFormat="false" ht="16.4" hidden="false" customHeight="false" outlineLevel="0" collapsed="false">
      <c r="A42" s="4" t="n">
        <v>38</v>
      </c>
      <c r="B42" s="5" t="s">
        <v>218</v>
      </c>
      <c r="C42" s="6" t="s">
        <v>219</v>
      </c>
      <c r="D42" s="4" t="s">
        <v>145</v>
      </c>
      <c r="E42" s="4"/>
      <c r="F42" s="4" t="s">
        <v>13</v>
      </c>
      <c r="G42" s="4"/>
      <c r="H42" s="4" t="s">
        <v>14</v>
      </c>
    </row>
    <row r="43" customFormat="false" ht="16.4" hidden="false" customHeight="false" outlineLevel="0" collapsed="false">
      <c r="A43" s="4" t="n">
        <v>39</v>
      </c>
      <c r="B43" s="5" t="s">
        <v>220</v>
      </c>
      <c r="C43" s="6" t="s">
        <v>221</v>
      </c>
      <c r="D43" s="4" t="s">
        <v>145</v>
      </c>
      <c r="E43" s="4"/>
      <c r="F43" s="4" t="s">
        <v>13</v>
      </c>
      <c r="G43" s="4"/>
      <c r="H43" s="4" t="s">
        <v>14</v>
      </c>
    </row>
    <row r="44" customFormat="false" ht="16.4" hidden="false" customHeight="false" outlineLevel="0" collapsed="false">
      <c r="A44" s="4" t="n">
        <v>40</v>
      </c>
      <c r="B44" s="5" t="s">
        <v>222</v>
      </c>
      <c r="C44" s="6" t="s">
        <v>223</v>
      </c>
      <c r="D44" s="4" t="s">
        <v>145</v>
      </c>
      <c r="E44" s="4"/>
      <c r="F44" s="4" t="s">
        <v>13</v>
      </c>
      <c r="G44" s="4"/>
      <c r="H44" s="4" t="s">
        <v>14</v>
      </c>
    </row>
    <row r="45" customFormat="false" ht="16.4" hidden="false" customHeight="false" outlineLevel="0" collapsed="false">
      <c r="A45" s="4" t="n">
        <v>41</v>
      </c>
      <c r="B45" s="5" t="s">
        <v>224</v>
      </c>
      <c r="C45" s="6" t="s">
        <v>225</v>
      </c>
      <c r="D45" s="4" t="s">
        <v>145</v>
      </c>
      <c r="E45" s="4"/>
      <c r="F45" s="4" t="s">
        <v>13</v>
      </c>
      <c r="G45" s="4"/>
      <c r="H45" s="4" t="s">
        <v>14</v>
      </c>
    </row>
    <row r="46" customFormat="false" ht="16.4" hidden="false" customHeight="false" outlineLevel="0" collapsed="false">
      <c r="A46" s="4" t="n">
        <v>42</v>
      </c>
      <c r="B46" s="5" t="s">
        <v>226</v>
      </c>
      <c r="C46" s="6" t="s">
        <v>227</v>
      </c>
      <c r="D46" s="4" t="s">
        <v>145</v>
      </c>
      <c r="E46" s="4"/>
      <c r="F46" s="4" t="s">
        <v>13</v>
      </c>
      <c r="G46" s="4"/>
      <c r="H46" s="4" t="s">
        <v>14</v>
      </c>
    </row>
    <row r="47" customFormat="false" ht="16.4" hidden="false" customHeight="false" outlineLevel="0" collapsed="false">
      <c r="A47" s="4" t="n">
        <v>43</v>
      </c>
      <c r="B47" s="5" t="s">
        <v>228</v>
      </c>
      <c r="C47" s="6" t="s">
        <v>229</v>
      </c>
      <c r="D47" s="4" t="s">
        <v>145</v>
      </c>
      <c r="E47" s="4"/>
      <c r="F47" s="4" t="s">
        <v>13</v>
      </c>
      <c r="G47" s="4"/>
      <c r="H47" s="4" t="s">
        <v>14</v>
      </c>
    </row>
    <row r="48" customFormat="false" ht="16.4" hidden="false" customHeight="false" outlineLevel="0" collapsed="false">
      <c r="A48" s="4" t="n">
        <v>44</v>
      </c>
      <c r="B48" s="5" t="s">
        <v>230</v>
      </c>
      <c r="C48" s="6" t="s">
        <v>231</v>
      </c>
      <c r="D48" s="4" t="s">
        <v>145</v>
      </c>
      <c r="E48" s="4"/>
      <c r="F48" s="4" t="s">
        <v>13</v>
      </c>
      <c r="G48" s="4"/>
      <c r="H48" s="4" t="s">
        <v>14</v>
      </c>
    </row>
    <row r="49" customFormat="false" ht="16.4" hidden="false" customHeight="false" outlineLevel="0" collapsed="false">
      <c r="A49" s="4" t="n">
        <v>45</v>
      </c>
      <c r="B49" s="5" t="s">
        <v>232</v>
      </c>
      <c r="C49" s="6" t="s">
        <v>233</v>
      </c>
      <c r="D49" s="4" t="s">
        <v>145</v>
      </c>
      <c r="E49" s="4"/>
      <c r="F49" s="4" t="s">
        <v>13</v>
      </c>
      <c r="G49" s="4"/>
      <c r="H49" s="4" t="s">
        <v>14</v>
      </c>
    </row>
    <row r="50" customFormat="false" ht="16.4" hidden="false" customHeight="false" outlineLevel="0" collapsed="false">
      <c r="A50" s="4" t="n">
        <v>46</v>
      </c>
      <c r="B50" s="5" t="s">
        <v>234</v>
      </c>
      <c r="C50" s="6" t="s">
        <v>235</v>
      </c>
      <c r="D50" s="4" t="s">
        <v>145</v>
      </c>
      <c r="E50" s="4"/>
      <c r="F50" s="4" t="s">
        <v>13</v>
      </c>
      <c r="G50" s="4"/>
      <c r="H50" s="4" t="s">
        <v>14</v>
      </c>
    </row>
    <row r="51" customFormat="false" ht="16.4" hidden="false" customHeight="false" outlineLevel="0" collapsed="false">
      <c r="A51" s="4" t="n">
        <v>47</v>
      </c>
      <c r="B51" s="5" t="s">
        <v>236</v>
      </c>
      <c r="C51" s="6" t="s">
        <v>237</v>
      </c>
      <c r="D51" s="4" t="s">
        <v>145</v>
      </c>
      <c r="E51" s="4"/>
      <c r="F51" s="4" t="s">
        <v>13</v>
      </c>
      <c r="G51" s="4"/>
      <c r="H51" s="4" t="s">
        <v>14</v>
      </c>
    </row>
    <row r="52" customFormat="false" ht="16.4" hidden="false" customHeight="false" outlineLevel="0" collapsed="false">
      <c r="A52" s="4" t="n">
        <v>48</v>
      </c>
      <c r="B52" s="5" t="s">
        <v>238</v>
      </c>
      <c r="C52" s="6" t="s">
        <v>239</v>
      </c>
      <c r="D52" s="4" t="s">
        <v>145</v>
      </c>
      <c r="E52" s="4"/>
      <c r="F52" s="4" t="s">
        <v>13</v>
      </c>
      <c r="G52" s="4"/>
      <c r="H52" s="4" t="s">
        <v>14</v>
      </c>
    </row>
    <row r="53" customFormat="false" ht="16.4" hidden="false" customHeight="false" outlineLevel="0" collapsed="false">
      <c r="A53" s="4" t="n">
        <v>49</v>
      </c>
      <c r="B53" s="5" t="s">
        <v>240</v>
      </c>
      <c r="C53" s="6" t="s">
        <v>241</v>
      </c>
      <c r="D53" s="4" t="s">
        <v>145</v>
      </c>
      <c r="E53" s="4"/>
      <c r="F53" s="4" t="s">
        <v>13</v>
      </c>
      <c r="G53" s="4"/>
      <c r="H53" s="4" t="s">
        <v>14</v>
      </c>
    </row>
    <row r="54" customFormat="false" ht="16.4" hidden="false" customHeight="false" outlineLevel="0" collapsed="false">
      <c r="A54" s="4" t="n">
        <v>50</v>
      </c>
      <c r="B54" s="5" t="s">
        <v>242</v>
      </c>
      <c r="C54" s="6" t="s">
        <v>243</v>
      </c>
      <c r="D54" s="4" t="s">
        <v>145</v>
      </c>
      <c r="E54" s="4"/>
      <c r="F54" s="4" t="s">
        <v>13</v>
      </c>
      <c r="G54" s="4"/>
      <c r="H54" s="4" t="s">
        <v>14</v>
      </c>
    </row>
    <row r="55" customFormat="false" ht="16.4" hidden="false" customHeight="false" outlineLevel="0" collapsed="false">
      <c r="A55" s="4" t="n">
        <v>51</v>
      </c>
      <c r="B55" s="5" t="s">
        <v>244</v>
      </c>
      <c r="C55" s="6" t="s">
        <v>245</v>
      </c>
      <c r="D55" s="4" t="s">
        <v>145</v>
      </c>
      <c r="E55" s="4"/>
      <c r="F55" s="4" t="s">
        <v>13</v>
      </c>
      <c r="G55" s="4"/>
      <c r="H55" s="4" t="s">
        <v>14</v>
      </c>
    </row>
    <row r="56" customFormat="false" ht="16.4" hidden="false" customHeight="false" outlineLevel="0" collapsed="false">
      <c r="A56" s="4" t="n">
        <v>52</v>
      </c>
      <c r="B56" s="5" t="s">
        <v>246</v>
      </c>
      <c r="C56" s="6" t="s">
        <v>247</v>
      </c>
      <c r="D56" s="4" t="s">
        <v>145</v>
      </c>
      <c r="E56" s="4"/>
      <c r="F56" s="4" t="s">
        <v>13</v>
      </c>
      <c r="G56" s="4"/>
      <c r="H56" s="4" t="s">
        <v>14</v>
      </c>
    </row>
    <row r="57" customFormat="false" ht="16.4" hidden="false" customHeight="false" outlineLevel="0" collapsed="false">
      <c r="A57" s="4" t="n">
        <v>53</v>
      </c>
      <c r="B57" s="5" t="s">
        <v>248</v>
      </c>
      <c r="C57" s="6" t="s">
        <v>249</v>
      </c>
      <c r="D57" s="4" t="s">
        <v>145</v>
      </c>
      <c r="E57" s="4"/>
      <c r="F57" s="4" t="s">
        <v>13</v>
      </c>
      <c r="G57" s="4"/>
      <c r="H57" s="4" t="s">
        <v>14</v>
      </c>
    </row>
    <row r="58" customFormat="false" ht="16.4" hidden="false" customHeight="false" outlineLevel="0" collapsed="false">
      <c r="A58" s="4" t="n">
        <v>54</v>
      </c>
      <c r="B58" s="5" t="s">
        <v>250</v>
      </c>
      <c r="C58" s="6" t="s">
        <v>251</v>
      </c>
      <c r="D58" s="4" t="s">
        <v>145</v>
      </c>
      <c r="E58" s="4"/>
      <c r="F58" s="4" t="s">
        <v>19</v>
      </c>
      <c r="G58" s="4"/>
      <c r="H58" s="4" t="s">
        <v>14</v>
      </c>
    </row>
    <row r="59" customFormat="false" ht="16.4" hidden="false" customHeight="false" outlineLevel="0" collapsed="false">
      <c r="A59" s="4" t="n">
        <v>55</v>
      </c>
      <c r="B59" s="5" t="s">
        <v>252</v>
      </c>
      <c r="C59" s="6" t="s">
        <v>253</v>
      </c>
      <c r="D59" s="4" t="s">
        <v>145</v>
      </c>
      <c r="E59" s="4"/>
      <c r="F59" s="4" t="s">
        <v>13</v>
      </c>
      <c r="G59" s="4"/>
      <c r="H59" s="4" t="s">
        <v>14</v>
      </c>
    </row>
    <row r="60" customFormat="false" ht="16.4" hidden="false" customHeight="false" outlineLevel="0" collapsed="false">
      <c r="A60" s="4" t="n">
        <v>56</v>
      </c>
      <c r="B60" s="5" t="s">
        <v>254</v>
      </c>
      <c r="C60" s="6" t="s">
        <v>255</v>
      </c>
      <c r="D60" s="4" t="s">
        <v>145</v>
      </c>
      <c r="E60" s="4"/>
      <c r="F60" s="4" t="s">
        <v>13</v>
      </c>
      <c r="G60" s="4"/>
      <c r="H60" s="4" t="s">
        <v>14</v>
      </c>
    </row>
    <row r="61" customFormat="false" ht="16.4" hidden="false" customHeight="false" outlineLevel="0" collapsed="false">
      <c r="A61" s="4" t="n">
        <v>57</v>
      </c>
      <c r="B61" s="5" t="s">
        <v>256</v>
      </c>
      <c r="C61" s="6" t="s">
        <v>257</v>
      </c>
      <c r="D61" s="4" t="s">
        <v>145</v>
      </c>
      <c r="E61" s="4"/>
      <c r="F61" s="4" t="s">
        <v>13</v>
      </c>
      <c r="G61" s="4"/>
      <c r="H61" s="4" t="s">
        <v>14</v>
      </c>
    </row>
    <row r="62" customFormat="false" ht="16.4" hidden="false" customHeight="false" outlineLevel="0" collapsed="false">
      <c r="A62" s="4" t="n">
        <v>58</v>
      </c>
      <c r="B62" s="5" t="s">
        <v>258</v>
      </c>
      <c r="C62" s="6" t="s">
        <v>259</v>
      </c>
      <c r="D62" s="4" t="s">
        <v>145</v>
      </c>
      <c r="E62" s="4"/>
      <c r="F62" s="4" t="s">
        <v>13</v>
      </c>
      <c r="G62" s="4"/>
      <c r="H62" s="4" t="s">
        <v>14</v>
      </c>
    </row>
    <row r="63" customFormat="false" ht="16.4" hidden="false" customHeight="false" outlineLevel="0" collapsed="false">
      <c r="A63" s="4" t="n">
        <v>59</v>
      </c>
      <c r="B63" s="5" t="s">
        <v>260</v>
      </c>
      <c r="C63" s="6" t="s">
        <v>261</v>
      </c>
      <c r="D63" s="4" t="s">
        <v>145</v>
      </c>
      <c r="E63" s="4"/>
      <c r="F63" s="4" t="s">
        <v>13</v>
      </c>
      <c r="G63" s="4"/>
      <c r="H63" s="4" t="s">
        <v>14</v>
      </c>
    </row>
    <row r="64" customFormat="false" ht="16.4" hidden="false" customHeight="false" outlineLevel="0" collapsed="false">
      <c r="A64" s="4" t="n">
        <v>60</v>
      </c>
      <c r="B64" s="5" t="s">
        <v>262</v>
      </c>
      <c r="C64" s="6" t="s">
        <v>263</v>
      </c>
      <c r="D64" s="4" t="s">
        <v>145</v>
      </c>
      <c r="E64" s="4"/>
      <c r="F64" s="4" t="s">
        <v>19</v>
      </c>
      <c r="G64" s="4"/>
      <c r="H64" s="4" t="s">
        <v>14</v>
      </c>
    </row>
    <row r="65" customFormat="false" ht="16.4" hidden="false" customHeight="false" outlineLevel="0" collapsed="false">
      <c r="A65" s="4" t="n">
        <v>61</v>
      </c>
      <c r="B65" s="5" t="s">
        <v>264</v>
      </c>
      <c r="C65" s="6" t="s">
        <v>265</v>
      </c>
      <c r="D65" s="4" t="s">
        <v>145</v>
      </c>
      <c r="E65" s="4"/>
      <c r="F65" s="4" t="s">
        <v>13</v>
      </c>
      <c r="G65" s="4"/>
      <c r="H65" s="4" t="s">
        <v>14</v>
      </c>
    </row>
    <row r="66" customFormat="false" ht="16.4" hidden="false" customHeight="false" outlineLevel="0" collapsed="false">
      <c r="A66" s="4" t="n">
        <v>62</v>
      </c>
      <c r="B66" s="5" t="s">
        <v>266</v>
      </c>
      <c r="C66" s="6" t="s">
        <v>267</v>
      </c>
      <c r="D66" s="4" t="s">
        <v>145</v>
      </c>
      <c r="E66" s="4"/>
      <c r="F66" s="4" t="s">
        <v>13</v>
      </c>
      <c r="G66" s="4"/>
      <c r="H66" s="4" t="s">
        <v>14</v>
      </c>
    </row>
    <row r="67" customFormat="false" ht="16.4" hidden="false" customHeight="false" outlineLevel="0" collapsed="false">
      <c r="A67" s="4" t="n">
        <v>63</v>
      </c>
      <c r="B67" s="5" t="s">
        <v>268</v>
      </c>
      <c r="C67" s="6" t="s">
        <v>269</v>
      </c>
      <c r="D67" s="4" t="s">
        <v>145</v>
      </c>
      <c r="E67" s="4"/>
      <c r="F67" s="4" t="s">
        <v>13</v>
      </c>
      <c r="G67" s="4"/>
      <c r="H67" s="4" t="s">
        <v>14</v>
      </c>
    </row>
    <row r="68" customFormat="false" ht="16.4" hidden="false" customHeight="false" outlineLevel="0" collapsed="false">
      <c r="A68" s="4" t="n">
        <v>64</v>
      </c>
      <c r="B68" s="5" t="s">
        <v>270</v>
      </c>
      <c r="C68" s="6" t="s">
        <v>271</v>
      </c>
      <c r="D68" s="4" t="s">
        <v>145</v>
      </c>
      <c r="E68" s="4"/>
      <c r="F68" s="4" t="s">
        <v>13</v>
      </c>
      <c r="G68" s="4"/>
      <c r="H68" s="4" t="s">
        <v>14</v>
      </c>
    </row>
  </sheetData>
  <dataValidations count="2">
    <dataValidation allowBlank="true" errorStyle="stop" operator="between" showDropDown="false" showErrorMessage="false" showInputMessage="false" sqref="F5:F68" type="list">
      <formula1>"ช,ญ"</formula1>
      <formula2>0</formula2>
    </dataValidation>
    <dataValidation allowBlank="true" errorStyle="stop" operator="between" showDropDown="false" showErrorMessage="false" showInputMessage="false" sqref="H5:H68" type="list">
      <formula1>"กำลังศึกษา,พักการศึกษา,พ้นสภาพ"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1</v>
      </c>
    </row>
    <row r="4" customFormat="false" ht="34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6.4" hidden="false" customHeight="false" outlineLevel="0" collapsed="false">
      <c r="A5" s="4" t="n">
        <v>1</v>
      </c>
      <c r="B5" s="5" t="s">
        <v>273</v>
      </c>
      <c r="C5" s="6" t="s">
        <v>274</v>
      </c>
      <c r="D5" s="4" t="s">
        <v>275</v>
      </c>
      <c r="E5" s="4"/>
      <c r="F5" s="4" t="s">
        <v>13</v>
      </c>
      <c r="G5" s="4"/>
      <c r="H5" s="4" t="s">
        <v>14</v>
      </c>
    </row>
    <row r="6" customFormat="false" ht="16.4" hidden="false" customHeight="false" outlineLevel="0" collapsed="false">
      <c r="A6" s="4" t="n">
        <v>2</v>
      </c>
      <c r="B6" s="5" t="s">
        <v>276</v>
      </c>
      <c r="C6" s="6" t="s">
        <v>277</v>
      </c>
      <c r="D6" s="4" t="s">
        <v>275</v>
      </c>
      <c r="E6" s="4"/>
      <c r="F6" s="4" t="s">
        <v>13</v>
      </c>
      <c r="G6" s="4"/>
      <c r="H6" s="4" t="s">
        <v>14</v>
      </c>
    </row>
    <row r="7" customFormat="false" ht="16.4" hidden="false" customHeight="false" outlineLevel="0" collapsed="false">
      <c r="A7" s="4" t="n">
        <v>3</v>
      </c>
      <c r="B7" s="5" t="s">
        <v>278</v>
      </c>
      <c r="C7" s="6" t="s">
        <v>279</v>
      </c>
      <c r="D7" s="4" t="s">
        <v>275</v>
      </c>
      <c r="E7" s="4"/>
      <c r="F7" s="4" t="s">
        <v>13</v>
      </c>
      <c r="G7" s="4"/>
      <c r="H7" s="4" t="s">
        <v>14</v>
      </c>
    </row>
    <row r="8" customFormat="false" ht="16.4" hidden="false" customHeight="false" outlineLevel="0" collapsed="false">
      <c r="A8" s="4" t="n">
        <v>4</v>
      </c>
      <c r="B8" s="5" t="s">
        <v>280</v>
      </c>
      <c r="C8" s="6" t="s">
        <v>281</v>
      </c>
      <c r="D8" s="4" t="s">
        <v>275</v>
      </c>
      <c r="E8" s="4"/>
      <c r="F8" s="4" t="s">
        <v>13</v>
      </c>
      <c r="G8" s="4"/>
      <c r="H8" s="4" t="s">
        <v>14</v>
      </c>
    </row>
    <row r="9" customFormat="false" ht="16.4" hidden="false" customHeight="false" outlineLevel="0" collapsed="false">
      <c r="A9" s="4" t="n">
        <v>5</v>
      </c>
      <c r="B9" s="5" t="s">
        <v>282</v>
      </c>
      <c r="C9" s="6" t="s">
        <v>283</v>
      </c>
      <c r="D9" s="4" t="s">
        <v>275</v>
      </c>
      <c r="E9" s="4"/>
      <c r="F9" s="4" t="s">
        <v>13</v>
      </c>
      <c r="G9" s="4"/>
      <c r="H9" s="4" t="s">
        <v>14</v>
      </c>
    </row>
    <row r="10" customFormat="false" ht="16.4" hidden="false" customHeight="false" outlineLevel="0" collapsed="false">
      <c r="A10" s="4" t="n">
        <v>6</v>
      </c>
      <c r="B10" s="5" t="s">
        <v>284</v>
      </c>
      <c r="C10" s="6" t="s">
        <v>285</v>
      </c>
      <c r="D10" s="4" t="s">
        <v>275</v>
      </c>
      <c r="E10" s="4"/>
      <c r="F10" s="4" t="s">
        <v>13</v>
      </c>
      <c r="G10" s="4"/>
      <c r="H10" s="4" t="s">
        <v>14</v>
      </c>
    </row>
    <row r="11" customFormat="false" ht="16.4" hidden="false" customHeight="false" outlineLevel="0" collapsed="false">
      <c r="A11" s="4" t="n">
        <v>7</v>
      </c>
      <c r="B11" s="5" t="s">
        <v>286</v>
      </c>
      <c r="C11" s="6" t="s">
        <v>287</v>
      </c>
      <c r="D11" s="4" t="s">
        <v>275</v>
      </c>
      <c r="E11" s="4"/>
      <c r="F11" s="4" t="s">
        <v>13</v>
      </c>
      <c r="G11" s="4"/>
      <c r="H11" s="4" t="s">
        <v>14</v>
      </c>
    </row>
    <row r="12" customFormat="false" ht="16.4" hidden="false" customHeight="false" outlineLevel="0" collapsed="false">
      <c r="A12" s="4" t="n">
        <v>8</v>
      </c>
      <c r="B12" s="5" t="s">
        <v>288</v>
      </c>
      <c r="C12" s="6" t="s">
        <v>289</v>
      </c>
      <c r="D12" s="4" t="s">
        <v>275</v>
      </c>
      <c r="E12" s="4"/>
      <c r="F12" s="4" t="s">
        <v>13</v>
      </c>
      <c r="G12" s="4"/>
      <c r="H12" s="4" t="s">
        <v>14</v>
      </c>
    </row>
    <row r="13" customFormat="false" ht="16.4" hidden="false" customHeight="false" outlineLevel="0" collapsed="false">
      <c r="A13" s="4" t="n">
        <v>9</v>
      </c>
      <c r="B13" s="5" t="s">
        <v>290</v>
      </c>
      <c r="C13" s="6" t="s">
        <v>291</v>
      </c>
      <c r="D13" s="4" t="s">
        <v>275</v>
      </c>
      <c r="E13" s="4"/>
      <c r="F13" s="4" t="s">
        <v>13</v>
      </c>
      <c r="G13" s="4"/>
      <c r="H13" s="4" t="s">
        <v>14</v>
      </c>
    </row>
    <row r="14" customFormat="false" ht="16.4" hidden="false" customHeight="false" outlineLevel="0" collapsed="false">
      <c r="A14" s="4" t="n">
        <v>10</v>
      </c>
      <c r="B14" s="5" t="s">
        <v>292</v>
      </c>
      <c r="C14" s="6" t="s">
        <v>293</v>
      </c>
      <c r="D14" s="4" t="s">
        <v>275</v>
      </c>
      <c r="E14" s="4"/>
      <c r="F14" s="4" t="s">
        <v>13</v>
      </c>
      <c r="G14" s="4"/>
      <c r="H14" s="4" t="s">
        <v>14</v>
      </c>
    </row>
    <row r="15" customFormat="false" ht="16.4" hidden="false" customHeight="false" outlineLevel="0" collapsed="false">
      <c r="A15" s="4" t="n">
        <v>11</v>
      </c>
      <c r="B15" s="5" t="s">
        <v>294</v>
      </c>
      <c r="C15" s="6" t="s">
        <v>295</v>
      </c>
      <c r="D15" s="4" t="s">
        <v>275</v>
      </c>
      <c r="E15" s="4"/>
      <c r="F15" s="4" t="s">
        <v>13</v>
      </c>
      <c r="G15" s="4"/>
      <c r="H15" s="4" t="s">
        <v>14</v>
      </c>
    </row>
    <row r="16" customFormat="false" ht="16.4" hidden="false" customHeight="false" outlineLevel="0" collapsed="false">
      <c r="A16" s="4" t="n">
        <v>12</v>
      </c>
      <c r="B16" s="5" t="s">
        <v>296</v>
      </c>
      <c r="C16" s="6" t="s">
        <v>297</v>
      </c>
      <c r="D16" s="4" t="s">
        <v>275</v>
      </c>
      <c r="E16" s="4"/>
      <c r="F16" s="4" t="s">
        <v>13</v>
      </c>
      <c r="G16" s="4"/>
      <c r="H16" s="4" t="s">
        <v>14</v>
      </c>
    </row>
    <row r="17" customFormat="false" ht="16.4" hidden="false" customHeight="false" outlineLevel="0" collapsed="false">
      <c r="A17" s="4" t="n">
        <v>13</v>
      </c>
      <c r="B17" s="5" t="s">
        <v>298</v>
      </c>
      <c r="C17" s="6" t="s">
        <v>299</v>
      </c>
      <c r="D17" s="4" t="s">
        <v>275</v>
      </c>
      <c r="E17" s="4"/>
      <c r="F17" s="4" t="s">
        <v>13</v>
      </c>
      <c r="G17" s="4"/>
      <c r="H17" s="4" t="s">
        <v>14</v>
      </c>
    </row>
    <row r="18" customFormat="false" ht="16.4" hidden="false" customHeight="false" outlineLevel="0" collapsed="false">
      <c r="A18" s="4" t="n">
        <v>14</v>
      </c>
      <c r="B18" s="5" t="s">
        <v>300</v>
      </c>
      <c r="C18" s="6" t="s">
        <v>301</v>
      </c>
      <c r="D18" s="4" t="s">
        <v>275</v>
      </c>
      <c r="E18" s="4"/>
      <c r="F18" s="4" t="s">
        <v>13</v>
      </c>
      <c r="G18" s="4"/>
      <c r="H18" s="4" t="s">
        <v>14</v>
      </c>
    </row>
    <row r="19" customFormat="false" ht="16.4" hidden="false" customHeight="false" outlineLevel="0" collapsed="false">
      <c r="A19" s="4" t="n">
        <v>15</v>
      </c>
      <c r="B19" s="5" t="s">
        <v>302</v>
      </c>
      <c r="C19" s="6" t="s">
        <v>303</v>
      </c>
      <c r="D19" s="4" t="s">
        <v>275</v>
      </c>
      <c r="E19" s="4"/>
      <c r="F19" s="4" t="s">
        <v>13</v>
      </c>
      <c r="G19" s="4"/>
      <c r="H19" s="4" t="s">
        <v>14</v>
      </c>
    </row>
    <row r="20" customFormat="false" ht="16.4" hidden="false" customHeight="false" outlineLevel="0" collapsed="false">
      <c r="A20" s="4" t="n">
        <v>16</v>
      </c>
      <c r="B20" s="5" t="s">
        <v>304</v>
      </c>
      <c r="C20" s="6" t="s">
        <v>305</v>
      </c>
      <c r="D20" s="4" t="s">
        <v>275</v>
      </c>
      <c r="E20" s="4"/>
      <c r="F20" s="4" t="s">
        <v>13</v>
      </c>
      <c r="G20" s="4"/>
      <c r="H20" s="4" t="s">
        <v>14</v>
      </c>
    </row>
    <row r="21" customFormat="false" ht="16.4" hidden="false" customHeight="false" outlineLevel="0" collapsed="false">
      <c r="A21" s="4" t="n">
        <v>17</v>
      </c>
      <c r="B21" s="5" t="s">
        <v>306</v>
      </c>
      <c r="C21" s="6" t="s">
        <v>307</v>
      </c>
      <c r="D21" s="4" t="s">
        <v>275</v>
      </c>
      <c r="E21" s="4"/>
      <c r="F21" s="4" t="s">
        <v>13</v>
      </c>
      <c r="G21" s="4"/>
      <c r="H21" s="4" t="s">
        <v>14</v>
      </c>
    </row>
    <row r="22" customFormat="false" ht="16.4" hidden="false" customHeight="false" outlineLevel="0" collapsed="false">
      <c r="A22" s="4" t="n">
        <v>18</v>
      </c>
      <c r="B22" s="5" t="s">
        <v>308</v>
      </c>
      <c r="C22" s="6" t="s">
        <v>309</v>
      </c>
      <c r="D22" s="4" t="s">
        <v>275</v>
      </c>
      <c r="E22" s="4"/>
      <c r="F22" s="4" t="s">
        <v>13</v>
      </c>
      <c r="G22" s="4"/>
      <c r="H22" s="4" t="s">
        <v>14</v>
      </c>
    </row>
    <row r="23" customFormat="false" ht="16.4" hidden="false" customHeight="false" outlineLevel="0" collapsed="false">
      <c r="A23" s="4" t="n">
        <v>19</v>
      </c>
      <c r="B23" s="5" t="s">
        <v>310</v>
      </c>
      <c r="C23" s="6" t="s">
        <v>311</v>
      </c>
      <c r="D23" s="4" t="s">
        <v>275</v>
      </c>
      <c r="E23" s="4"/>
      <c r="F23" s="4" t="s">
        <v>13</v>
      </c>
      <c r="G23" s="4"/>
      <c r="H23" s="4" t="s">
        <v>14</v>
      </c>
    </row>
    <row r="24" customFormat="false" ht="16.4" hidden="false" customHeight="false" outlineLevel="0" collapsed="false">
      <c r="A24" s="4" t="n">
        <v>20</v>
      </c>
      <c r="B24" s="5" t="s">
        <v>312</v>
      </c>
      <c r="C24" s="6" t="s">
        <v>313</v>
      </c>
      <c r="D24" s="4" t="s">
        <v>275</v>
      </c>
      <c r="E24" s="4"/>
      <c r="F24" s="4" t="s">
        <v>13</v>
      </c>
      <c r="G24" s="4"/>
      <c r="H24" s="4" t="s">
        <v>14</v>
      </c>
    </row>
    <row r="25" customFormat="false" ht="16.4" hidden="false" customHeight="false" outlineLevel="0" collapsed="false">
      <c r="A25" s="4" t="n">
        <v>21</v>
      </c>
      <c r="B25" s="5" t="s">
        <v>314</v>
      </c>
      <c r="C25" s="6" t="s">
        <v>315</v>
      </c>
      <c r="D25" s="4" t="s">
        <v>275</v>
      </c>
      <c r="E25" s="4"/>
      <c r="F25" s="4" t="s">
        <v>19</v>
      </c>
      <c r="G25" s="4"/>
      <c r="H25" s="4" t="s">
        <v>14</v>
      </c>
    </row>
    <row r="26" customFormat="false" ht="16.4" hidden="false" customHeight="false" outlineLevel="0" collapsed="false">
      <c r="A26" s="4" t="n">
        <v>22</v>
      </c>
      <c r="B26" s="5" t="s">
        <v>316</v>
      </c>
      <c r="C26" s="6" t="s">
        <v>317</v>
      </c>
      <c r="D26" s="4" t="s">
        <v>275</v>
      </c>
      <c r="E26" s="4"/>
      <c r="F26" s="4" t="s">
        <v>13</v>
      </c>
      <c r="G26" s="4"/>
      <c r="H26" s="4" t="s">
        <v>14</v>
      </c>
    </row>
    <row r="27" customFormat="false" ht="16.4" hidden="false" customHeight="false" outlineLevel="0" collapsed="false">
      <c r="A27" s="4" t="n">
        <v>23</v>
      </c>
      <c r="B27" s="5" t="s">
        <v>318</v>
      </c>
      <c r="C27" s="6" t="s">
        <v>319</v>
      </c>
      <c r="D27" s="4" t="s">
        <v>275</v>
      </c>
      <c r="E27" s="4"/>
      <c r="F27" s="4" t="s">
        <v>19</v>
      </c>
      <c r="G27" s="4"/>
      <c r="H27" s="4" t="s">
        <v>14</v>
      </c>
    </row>
    <row r="28" customFormat="false" ht="16.4" hidden="false" customHeight="false" outlineLevel="0" collapsed="false">
      <c r="A28" s="4" t="n">
        <v>24</v>
      </c>
      <c r="B28" s="5" t="s">
        <v>320</v>
      </c>
      <c r="C28" s="6" t="s">
        <v>321</v>
      </c>
      <c r="D28" s="4" t="s">
        <v>275</v>
      </c>
      <c r="E28" s="4"/>
      <c r="F28" s="4" t="s">
        <v>13</v>
      </c>
      <c r="G28" s="4"/>
      <c r="H28" s="4" t="s">
        <v>14</v>
      </c>
    </row>
    <row r="29" customFormat="false" ht="16.4" hidden="false" customHeight="false" outlineLevel="0" collapsed="false">
      <c r="A29" s="4" t="n">
        <v>25</v>
      </c>
      <c r="B29" s="5" t="s">
        <v>322</v>
      </c>
      <c r="C29" s="6" t="s">
        <v>323</v>
      </c>
      <c r="D29" s="4" t="s">
        <v>275</v>
      </c>
      <c r="E29" s="4"/>
      <c r="F29" s="4" t="s">
        <v>13</v>
      </c>
      <c r="G29" s="4"/>
      <c r="H29" s="4" t="s">
        <v>14</v>
      </c>
    </row>
    <row r="30" customFormat="false" ht="16.4" hidden="false" customHeight="false" outlineLevel="0" collapsed="false">
      <c r="A30" s="4" t="n">
        <v>26</v>
      </c>
      <c r="B30" s="5" t="s">
        <v>324</v>
      </c>
      <c r="C30" s="6" t="s">
        <v>325</v>
      </c>
      <c r="D30" s="4" t="s">
        <v>275</v>
      </c>
      <c r="E30" s="4"/>
      <c r="F30" s="4" t="s">
        <v>13</v>
      </c>
      <c r="G30" s="4"/>
      <c r="H30" s="4" t="s">
        <v>14</v>
      </c>
    </row>
    <row r="31" customFormat="false" ht="16.4" hidden="false" customHeight="false" outlineLevel="0" collapsed="false">
      <c r="A31" s="4" t="n">
        <v>27</v>
      </c>
      <c r="B31" s="5" t="s">
        <v>326</v>
      </c>
      <c r="C31" s="6" t="s">
        <v>327</v>
      </c>
      <c r="D31" s="4" t="s">
        <v>275</v>
      </c>
      <c r="E31" s="4"/>
      <c r="F31" s="4" t="s">
        <v>19</v>
      </c>
      <c r="G31" s="4"/>
      <c r="H31" s="4" t="s">
        <v>14</v>
      </c>
    </row>
    <row r="32" customFormat="false" ht="16.4" hidden="false" customHeight="false" outlineLevel="0" collapsed="false">
      <c r="A32" s="4" t="n">
        <v>28</v>
      </c>
      <c r="B32" s="5" t="s">
        <v>328</v>
      </c>
      <c r="C32" s="6" t="s">
        <v>329</v>
      </c>
      <c r="D32" s="4" t="s">
        <v>275</v>
      </c>
      <c r="E32" s="4"/>
      <c r="F32" s="4" t="s">
        <v>13</v>
      </c>
      <c r="G32" s="4"/>
      <c r="H32" s="4" t="s">
        <v>14</v>
      </c>
    </row>
    <row r="33" customFormat="false" ht="16.4" hidden="false" customHeight="false" outlineLevel="0" collapsed="false">
      <c r="A33" s="4" t="n">
        <v>29</v>
      </c>
      <c r="B33" s="5" t="s">
        <v>330</v>
      </c>
      <c r="C33" s="6" t="s">
        <v>331</v>
      </c>
      <c r="D33" s="4" t="s">
        <v>275</v>
      </c>
      <c r="E33" s="4"/>
      <c r="F33" s="4" t="s">
        <v>13</v>
      </c>
      <c r="G33" s="4"/>
      <c r="H33" s="4" t="s">
        <v>14</v>
      </c>
    </row>
    <row r="34" customFormat="false" ht="16.4" hidden="false" customHeight="false" outlineLevel="0" collapsed="false">
      <c r="A34" s="4" t="n">
        <v>30</v>
      </c>
      <c r="B34" s="5" t="s">
        <v>332</v>
      </c>
      <c r="C34" s="6" t="s">
        <v>333</v>
      </c>
      <c r="D34" s="4" t="s">
        <v>275</v>
      </c>
      <c r="E34" s="4"/>
      <c r="F34" s="4" t="s">
        <v>13</v>
      </c>
      <c r="G34" s="4"/>
      <c r="H34" s="4" t="s">
        <v>14</v>
      </c>
    </row>
    <row r="35" customFormat="false" ht="16.4" hidden="false" customHeight="false" outlineLevel="0" collapsed="false">
      <c r="A35" s="4" t="n">
        <v>31</v>
      </c>
      <c r="B35" s="5" t="s">
        <v>334</v>
      </c>
      <c r="C35" s="6" t="s">
        <v>335</v>
      </c>
      <c r="D35" s="4" t="s">
        <v>275</v>
      </c>
      <c r="E35" s="4"/>
      <c r="F35" s="4" t="s">
        <v>13</v>
      </c>
      <c r="G35" s="4"/>
      <c r="H35" s="4" t="s">
        <v>14</v>
      </c>
    </row>
    <row r="36" customFormat="false" ht="16.4" hidden="false" customHeight="false" outlineLevel="0" collapsed="false">
      <c r="A36" s="4" t="n">
        <v>32</v>
      </c>
      <c r="B36" s="5" t="s">
        <v>336</v>
      </c>
      <c r="C36" s="6" t="s">
        <v>337</v>
      </c>
      <c r="D36" s="4" t="s">
        <v>275</v>
      </c>
      <c r="E36" s="4"/>
      <c r="F36" s="4" t="s">
        <v>13</v>
      </c>
      <c r="G36" s="4"/>
      <c r="H36" s="4" t="s">
        <v>14</v>
      </c>
    </row>
    <row r="37" customFormat="false" ht="16.4" hidden="false" customHeight="false" outlineLevel="0" collapsed="false">
      <c r="A37" s="4" t="n">
        <v>33</v>
      </c>
      <c r="B37" s="5" t="s">
        <v>338</v>
      </c>
      <c r="C37" s="6" t="s">
        <v>339</v>
      </c>
      <c r="D37" s="4" t="s">
        <v>275</v>
      </c>
      <c r="E37" s="4"/>
      <c r="F37" s="4" t="s">
        <v>13</v>
      </c>
      <c r="G37" s="4"/>
      <c r="H37" s="4" t="s">
        <v>14</v>
      </c>
    </row>
    <row r="38" customFormat="false" ht="16.4" hidden="false" customHeight="false" outlineLevel="0" collapsed="false">
      <c r="A38" s="4" t="n">
        <v>34</v>
      </c>
      <c r="B38" s="5" t="s">
        <v>340</v>
      </c>
      <c r="C38" s="6" t="s">
        <v>341</v>
      </c>
      <c r="D38" s="4" t="s">
        <v>275</v>
      </c>
      <c r="E38" s="4"/>
      <c r="F38" s="4" t="s">
        <v>13</v>
      </c>
      <c r="G38" s="4"/>
      <c r="H38" s="4" t="s">
        <v>14</v>
      </c>
    </row>
    <row r="39" customFormat="false" ht="16.4" hidden="false" customHeight="false" outlineLevel="0" collapsed="false">
      <c r="A39" s="4" t="n">
        <v>35</v>
      </c>
      <c r="B39" s="5" t="s">
        <v>342</v>
      </c>
      <c r="C39" s="6" t="s">
        <v>343</v>
      </c>
      <c r="D39" s="4" t="s">
        <v>275</v>
      </c>
      <c r="E39" s="4"/>
      <c r="F39" s="4" t="s">
        <v>13</v>
      </c>
      <c r="G39" s="4"/>
      <c r="H39" s="4" t="s">
        <v>14</v>
      </c>
    </row>
    <row r="40" customFormat="false" ht="16.4" hidden="false" customHeight="false" outlineLevel="0" collapsed="false">
      <c r="A40" s="4" t="n">
        <v>36</v>
      </c>
      <c r="B40" s="5" t="s">
        <v>344</v>
      </c>
      <c r="C40" s="6" t="s">
        <v>345</v>
      </c>
      <c r="D40" s="4" t="s">
        <v>275</v>
      </c>
      <c r="E40" s="4"/>
      <c r="F40" s="4" t="s">
        <v>13</v>
      </c>
      <c r="G40" s="4"/>
      <c r="H40" s="4" t="s">
        <v>14</v>
      </c>
    </row>
    <row r="41" customFormat="false" ht="16.4" hidden="false" customHeight="false" outlineLevel="0" collapsed="false">
      <c r="A41" s="4" t="n">
        <v>37</v>
      </c>
      <c r="B41" s="5" t="s">
        <v>346</v>
      </c>
      <c r="C41" s="6" t="s">
        <v>347</v>
      </c>
      <c r="D41" s="4" t="s">
        <v>275</v>
      </c>
      <c r="E41" s="4"/>
      <c r="F41" s="4" t="s">
        <v>13</v>
      </c>
      <c r="G41" s="4"/>
      <c r="H41" s="4" t="s">
        <v>14</v>
      </c>
    </row>
    <row r="42" customFormat="false" ht="16.4" hidden="false" customHeight="false" outlineLevel="0" collapsed="false">
      <c r="A42" s="4" t="n">
        <v>38</v>
      </c>
      <c r="B42" s="5" t="s">
        <v>348</v>
      </c>
      <c r="C42" s="6" t="s">
        <v>349</v>
      </c>
      <c r="D42" s="4" t="s">
        <v>275</v>
      </c>
      <c r="E42" s="4"/>
      <c r="F42" s="4" t="s">
        <v>13</v>
      </c>
      <c r="G42" s="4"/>
      <c r="H42" s="4" t="s">
        <v>14</v>
      </c>
    </row>
    <row r="43" customFormat="false" ht="16.4" hidden="false" customHeight="false" outlineLevel="0" collapsed="false">
      <c r="A43" s="4" t="n">
        <v>39</v>
      </c>
      <c r="B43" s="5" t="s">
        <v>350</v>
      </c>
      <c r="C43" s="6" t="s">
        <v>351</v>
      </c>
      <c r="D43" s="4" t="s">
        <v>275</v>
      </c>
      <c r="E43" s="4"/>
      <c r="F43" s="4" t="s">
        <v>13</v>
      </c>
      <c r="G43" s="4"/>
      <c r="H43" s="4" t="s">
        <v>14</v>
      </c>
    </row>
    <row r="44" customFormat="false" ht="16.4" hidden="false" customHeight="false" outlineLevel="0" collapsed="false">
      <c r="A44" s="4" t="n">
        <v>40</v>
      </c>
      <c r="B44" s="5" t="s">
        <v>352</v>
      </c>
      <c r="C44" s="6" t="s">
        <v>353</v>
      </c>
      <c r="D44" s="4" t="s">
        <v>275</v>
      </c>
      <c r="E44" s="4"/>
      <c r="F44" s="4" t="s">
        <v>13</v>
      </c>
      <c r="G44" s="4"/>
      <c r="H44" s="4" t="s">
        <v>14</v>
      </c>
    </row>
    <row r="45" customFormat="false" ht="16.4" hidden="false" customHeight="false" outlineLevel="0" collapsed="false">
      <c r="A45" s="4" t="n">
        <v>41</v>
      </c>
      <c r="B45" s="5" t="s">
        <v>354</v>
      </c>
      <c r="C45" s="6" t="s">
        <v>355</v>
      </c>
      <c r="D45" s="4" t="s">
        <v>275</v>
      </c>
      <c r="E45" s="4"/>
      <c r="F45" s="4" t="s">
        <v>13</v>
      </c>
      <c r="G45" s="4"/>
      <c r="H45" s="4" t="s">
        <v>14</v>
      </c>
    </row>
    <row r="46" customFormat="false" ht="16.4" hidden="false" customHeight="false" outlineLevel="0" collapsed="false">
      <c r="A46" s="4" t="n">
        <v>42</v>
      </c>
      <c r="B46" s="5" t="s">
        <v>356</v>
      </c>
      <c r="C46" s="6" t="s">
        <v>357</v>
      </c>
      <c r="D46" s="4" t="s">
        <v>275</v>
      </c>
      <c r="E46" s="4"/>
      <c r="F46" s="4" t="s">
        <v>13</v>
      </c>
      <c r="G46" s="4"/>
      <c r="H46" s="4" t="s">
        <v>14</v>
      </c>
    </row>
    <row r="47" customFormat="false" ht="16.4" hidden="false" customHeight="false" outlineLevel="0" collapsed="false">
      <c r="A47" s="4" t="n">
        <v>43</v>
      </c>
      <c r="B47" s="5" t="s">
        <v>358</v>
      </c>
      <c r="C47" s="6" t="s">
        <v>359</v>
      </c>
      <c r="D47" s="4" t="s">
        <v>275</v>
      </c>
      <c r="E47" s="4"/>
      <c r="F47" s="4" t="s">
        <v>13</v>
      </c>
      <c r="G47" s="4"/>
      <c r="H47" s="4" t="s">
        <v>14</v>
      </c>
    </row>
    <row r="48" customFormat="false" ht="16.4" hidden="false" customHeight="false" outlineLevel="0" collapsed="false">
      <c r="A48" s="4" t="n">
        <v>44</v>
      </c>
      <c r="B48" s="5" t="s">
        <v>360</v>
      </c>
      <c r="C48" s="6" t="s">
        <v>361</v>
      </c>
      <c r="D48" s="4" t="s">
        <v>275</v>
      </c>
      <c r="E48" s="4"/>
      <c r="F48" s="4" t="s">
        <v>13</v>
      </c>
      <c r="G48" s="4"/>
      <c r="H48" s="4" t="s">
        <v>14</v>
      </c>
    </row>
    <row r="49" customFormat="false" ht="16.4" hidden="false" customHeight="false" outlineLevel="0" collapsed="false">
      <c r="A49" s="4" t="n">
        <v>45</v>
      </c>
      <c r="B49" s="5" t="s">
        <v>362</v>
      </c>
      <c r="C49" s="6" t="s">
        <v>363</v>
      </c>
      <c r="D49" s="4" t="s">
        <v>275</v>
      </c>
      <c r="E49" s="4"/>
      <c r="F49" s="4" t="s">
        <v>13</v>
      </c>
      <c r="G49" s="4"/>
      <c r="H49" s="4" t="s">
        <v>14</v>
      </c>
    </row>
    <row r="50" customFormat="false" ht="16.4" hidden="false" customHeight="false" outlineLevel="0" collapsed="false">
      <c r="A50" s="4" t="n">
        <v>46</v>
      </c>
      <c r="B50" s="5" t="s">
        <v>364</v>
      </c>
      <c r="C50" s="6" t="s">
        <v>365</v>
      </c>
      <c r="D50" s="4" t="s">
        <v>275</v>
      </c>
      <c r="E50" s="4"/>
      <c r="F50" s="4" t="s">
        <v>19</v>
      </c>
      <c r="G50" s="4"/>
      <c r="H50" s="4" t="s">
        <v>14</v>
      </c>
    </row>
    <row r="51" customFormat="false" ht="16.4" hidden="false" customHeight="false" outlineLevel="0" collapsed="false">
      <c r="A51" s="4" t="n">
        <v>47</v>
      </c>
      <c r="B51" s="5" t="s">
        <v>366</v>
      </c>
      <c r="C51" s="6" t="s">
        <v>367</v>
      </c>
      <c r="D51" s="4" t="s">
        <v>275</v>
      </c>
      <c r="E51" s="4"/>
      <c r="F51" s="4" t="s">
        <v>13</v>
      </c>
      <c r="G51" s="4"/>
      <c r="H51" s="4" t="s">
        <v>14</v>
      </c>
    </row>
    <row r="52" customFormat="false" ht="16.4" hidden="false" customHeight="false" outlineLevel="0" collapsed="false">
      <c r="A52" s="4" t="n">
        <v>48</v>
      </c>
      <c r="B52" s="5" t="s">
        <v>368</v>
      </c>
      <c r="C52" s="6" t="s">
        <v>369</v>
      </c>
      <c r="D52" s="4" t="s">
        <v>275</v>
      </c>
      <c r="E52" s="4"/>
      <c r="F52" s="4" t="s">
        <v>13</v>
      </c>
      <c r="G52" s="4"/>
      <c r="H52" s="4" t="s">
        <v>14</v>
      </c>
    </row>
    <row r="53" customFormat="false" ht="16.4" hidden="false" customHeight="false" outlineLevel="0" collapsed="false">
      <c r="A53" s="4" t="n">
        <v>49</v>
      </c>
      <c r="B53" s="5" t="s">
        <v>370</v>
      </c>
      <c r="C53" s="6" t="s">
        <v>371</v>
      </c>
      <c r="D53" s="4" t="s">
        <v>275</v>
      </c>
      <c r="E53" s="4"/>
      <c r="F53" s="4" t="s">
        <v>13</v>
      </c>
      <c r="G53" s="4"/>
      <c r="H53" s="4" t="s">
        <v>14</v>
      </c>
    </row>
    <row r="54" customFormat="false" ht="16.4" hidden="false" customHeight="false" outlineLevel="0" collapsed="false">
      <c r="A54" s="4" t="n">
        <v>50</v>
      </c>
      <c r="B54" s="5" t="s">
        <v>372</v>
      </c>
      <c r="C54" s="6" t="s">
        <v>373</v>
      </c>
      <c r="D54" s="4" t="s">
        <v>275</v>
      </c>
      <c r="E54" s="4"/>
      <c r="F54" s="4" t="s">
        <v>13</v>
      </c>
      <c r="G54" s="4"/>
      <c r="H54" s="4" t="s">
        <v>14</v>
      </c>
    </row>
    <row r="55" customFormat="false" ht="16.4" hidden="false" customHeight="false" outlineLevel="0" collapsed="false">
      <c r="A55" s="4" t="n">
        <v>51</v>
      </c>
      <c r="B55" s="5" t="s">
        <v>374</v>
      </c>
      <c r="C55" s="6" t="s">
        <v>375</v>
      </c>
      <c r="D55" s="4" t="s">
        <v>275</v>
      </c>
      <c r="E55" s="4"/>
      <c r="F55" s="4" t="s">
        <v>13</v>
      </c>
      <c r="G55" s="4"/>
      <c r="H55" s="4" t="s">
        <v>14</v>
      </c>
    </row>
    <row r="56" customFormat="false" ht="16.4" hidden="false" customHeight="false" outlineLevel="0" collapsed="false">
      <c r="A56" s="4" t="n">
        <v>52</v>
      </c>
      <c r="B56" s="5" t="s">
        <v>376</v>
      </c>
      <c r="C56" s="6" t="s">
        <v>377</v>
      </c>
      <c r="D56" s="4" t="s">
        <v>275</v>
      </c>
      <c r="E56" s="4"/>
      <c r="F56" s="4" t="s">
        <v>13</v>
      </c>
      <c r="G56" s="4"/>
      <c r="H56" s="4" t="s">
        <v>14</v>
      </c>
    </row>
    <row r="57" customFormat="false" ht="16.4" hidden="false" customHeight="false" outlineLevel="0" collapsed="false">
      <c r="A57" s="4" t="n">
        <v>53</v>
      </c>
      <c r="B57" s="5" t="s">
        <v>378</v>
      </c>
      <c r="C57" s="6" t="s">
        <v>379</v>
      </c>
      <c r="D57" s="4" t="s">
        <v>275</v>
      </c>
      <c r="E57" s="4"/>
      <c r="F57" s="4" t="s">
        <v>13</v>
      </c>
      <c r="G57" s="4"/>
      <c r="H57" s="4" t="s">
        <v>14</v>
      </c>
    </row>
    <row r="58" customFormat="false" ht="16.4" hidden="false" customHeight="false" outlineLevel="0" collapsed="false">
      <c r="A58" s="4" t="n">
        <v>54</v>
      </c>
      <c r="B58" s="5" t="s">
        <v>380</v>
      </c>
      <c r="C58" s="6" t="s">
        <v>381</v>
      </c>
      <c r="D58" s="4" t="s">
        <v>275</v>
      </c>
      <c r="E58" s="4"/>
      <c r="F58" s="4" t="s">
        <v>13</v>
      </c>
      <c r="G58" s="4"/>
      <c r="H58" s="4" t="s">
        <v>14</v>
      </c>
    </row>
    <row r="59" customFormat="false" ht="16.4" hidden="false" customHeight="false" outlineLevel="0" collapsed="false">
      <c r="A59" s="4" t="n">
        <v>55</v>
      </c>
      <c r="B59" s="5" t="s">
        <v>382</v>
      </c>
      <c r="C59" s="6" t="s">
        <v>383</v>
      </c>
      <c r="D59" s="4" t="s">
        <v>275</v>
      </c>
      <c r="E59" s="4"/>
      <c r="F59" s="4" t="s">
        <v>13</v>
      </c>
      <c r="G59" s="4"/>
      <c r="H59" s="4" t="s">
        <v>14</v>
      </c>
    </row>
    <row r="60" customFormat="false" ht="16.4" hidden="false" customHeight="false" outlineLevel="0" collapsed="false">
      <c r="A60" s="4" t="n">
        <v>56</v>
      </c>
      <c r="B60" s="5" t="s">
        <v>384</v>
      </c>
      <c r="C60" s="6" t="s">
        <v>385</v>
      </c>
      <c r="D60" s="4" t="s">
        <v>275</v>
      </c>
      <c r="E60" s="4"/>
      <c r="F60" s="4" t="s">
        <v>19</v>
      </c>
      <c r="G60" s="4"/>
      <c r="H60" s="4" t="s">
        <v>14</v>
      </c>
    </row>
    <row r="61" customFormat="false" ht="16.4" hidden="false" customHeight="false" outlineLevel="0" collapsed="false">
      <c r="A61" s="4" t="n">
        <v>57</v>
      </c>
      <c r="B61" s="5" t="s">
        <v>386</v>
      </c>
      <c r="C61" s="6" t="s">
        <v>387</v>
      </c>
      <c r="D61" s="4" t="s">
        <v>275</v>
      </c>
      <c r="E61" s="4"/>
      <c r="F61" s="4" t="s">
        <v>13</v>
      </c>
      <c r="G61" s="4"/>
      <c r="H61" s="4" t="s">
        <v>14</v>
      </c>
    </row>
    <row r="62" customFormat="false" ht="16.4" hidden="false" customHeight="false" outlineLevel="0" collapsed="false">
      <c r="A62" s="4" t="n">
        <v>58</v>
      </c>
      <c r="B62" s="5" t="s">
        <v>388</v>
      </c>
      <c r="C62" s="6" t="s">
        <v>389</v>
      </c>
      <c r="D62" s="4" t="s">
        <v>275</v>
      </c>
      <c r="E62" s="4"/>
      <c r="F62" s="4" t="s">
        <v>13</v>
      </c>
      <c r="G62" s="4"/>
      <c r="H62" s="4" t="s">
        <v>14</v>
      </c>
    </row>
    <row r="63" customFormat="false" ht="16.4" hidden="false" customHeight="false" outlineLevel="0" collapsed="false">
      <c r="A63" s="4" t="n">
        <v>59</v>
      </c>
      <c r="B63" s="5" t="s">
        <v>390</v>
      </c>
      <c r="C63" s="6" t="s">
        <v>391</v>
      </c>
      <c r="D63" s="4" t="s">
        <v>275</v>
      </c>
      <c r="E63" s="4"/>
      <c r="F63" s="4" t="s">
        <v>13</v>
      </c>
      <c r="G63" s="4"/>
      <c r="H63" s="4" t="s">
        <v>14</v>
      </c>
    </row>
    <row r="64" customFormat="false" ht="16.4" hidden="false" customHeight="false" outlineLevel="0" collapsed="false">
      <c r="A64" s="4" t="n">
        <v>60</v>
      </c>
      <c r="B64" s="5" t="s">
        <v>392</v>
      </c>
      <c r="C64" s="6" t="s">
        <v>393</v>
      </c>
      <c r="D64" s="4" t="s">
        <v>275</v>
      </c>
      <c r="E64" s="4"/>
      <c r="F64" s="4" t="s">
        <v>13</v>
      </c>
      <c r="G64" s="4"/>
      <c r="H64" s="4" t="s">
        <v>14</v>
      </c>
    </row>
    <row r="65" customFormat="false" ht="16.4" hidden="false" customHeight="false" outlineLevel="0" collapsed="false">
      <c r="A65" s="4" t="n">
        <v>61</v>
      </c>
      <c r="B65" s="5" t="s">
        <v>394</v>
      </c>
      <c r="C65" s="6" t="s">
        <v>395</v>
      </c>
      <c r="D65" s="4" t="s">
        <v>275</v>
      </c>
      <c r="E65" s="4"/>
      <c r="F65" s="4" t="s">
        <v>13</v>
      </c>
      <c r="G65" s="4"/>
      <c r="H65" s="4" t="s">
        <v>14</v>
      </c>
    </row>
  </sheetData>
  <dataValidations count="2">
    <dataValidation allowBlank="true" errorStyle="stop" operator="between" showDropDown="false" showErrorMessage="false" showInputMessage="false" sqref="F5:F65" type="list">
      <formula1>"ช,ญ"</formula1>
      <formula2>0</formula2>
    </dataValidation>
    <dataValidation allowBlank="true" errorStyle="stop" operator="between" showDropDown="false" showErrorMessage="false" showInputMessage="false" sqref="H5:H65" type="list">
      <formula1>"กำลังศึกษา,พักการศึกษา,พ้นสภาพ"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8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1</v>
      </c>
    </row>
    <row r="4" customFormat="false" ht="34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6.4" hidden="false" customHeight="false" outlineLevel="0" collapsed="false">
      <c r="A5" s="4" t="n">
        <v>1</v>
      </c>
      <c r="B5" s="5" t="s">
        <v>397</v>
      </c>
      <c r="C5" s="6" t="s">
        <v>398</v>
      </c>
      <c r="D5" s="4" t="s">
        <v>399</v>
      </c>
      <c r="E5" s="4"/>
      <c r="F5" s="4" t="s">
        <v>13</v>
      </c>
      <c r="G5" s="4"/>
      <c r="H5" s="4" t="s">
        <v>14</v>
      </c>
    </row>
    <row r="6" customFormat="false" ht="16.4" hidden="false" customHeight="false" outlineLevel="0" collapsed="false">
      <c r="A6" s="4" t="n">
        <v>2</v>
      </c>
      <c r="B6" s="5" t="s">
        <v>400</v>
      </c>
      <c r="C6" s="6" t="s">
        <v>401</v>
      </c>
      <c r="D6" s="4" t="s">
        <v>399</v>
      </c>
      <c r="E6" s="4"/>
      <c r="F6" s="4" t="s">
        <v>13</v>
      </c>
      <c r="G6" s="4"/>
      <c r="H6" s="4" t="s">
        <v>14</v>
      </c>
    </row>
    <row r="7" customFormat="false" ht="16.4" hidden="false" customHeight="false" outlineLevel="0" collapsed="false">
      <c r="A7" s="4" t="n">
        <v>3</v>
      </c>
      <c r="B7" s="5" t="s">
        <v>402</v>
      </c>
      <c r="C7" s="6" t="s">
        <v>403</v>
      </c>
      <c r="D7" s="4" t="s">
        <v>399</v>
      </c>
      <c r="E7" s="4"/>
      <c r="F7" s="4" t="s">
        <v>13</v>
      </c>
      <c r="G7" s="4"/>
      <c r="H7" s="4" t="s">
        <v>14</v>
      </c>
    </row>
    <row r="8" customFormat="false" ht="16.4" hidden="false" customHeight="false" outlineLevel="0" collapsed="false">
      <c r="A8" s="4" t="n">
        <v>4</v>
      </c>
      <c r="B8" s="5" t="s">
        <v>404</v>
      </c>
      <c r="C8" s="6" t="s">
        <v>405</v>
      </c>
      <c r="D8" s="4" t="s">
        <v>399</v>
      </c>
      <c r="E8" s="4"/>
      <c r="F8" s="4" t="s">
        <v>13</v>
      </c>
      <c r="G8" s="4"/>
      <c r="H8" s="4" t="s">
        <v>14</v>
      </c>
    </row>
    <row r="9" customFormat="false" ht="16.4" hidden="false" customHeight="false" outlineLevel="0" collapsed="false">
      <c r="A9" s="4" t="n">
        <v>5</v>
      </c>
      <c r="B9" s="5" t="s">
        <v>406</v>
      </c>
      <c r="C9" s="6" t="s">
        <v>407</v>
      </c>
      <c r="D9" s="4" t="s">
        <v>399</v>
      </c>
      <c r="E9" s="4"/>
      <c r="F9" s="4" t="s">
        <v>13</v>
      </c>
      <c r="G9" s="4"/>
      <c r="H9" s="4" t="s">
        <v>14</v>
      </c>
    </row>
    <row r="10" customFormat="false" ht="16.4" hidden="false" customHeight="false" outlineLevel="0" collapsed="false">
      <c r="A10" s="4" t="n">
        <v>6</v>
      </c>
      <c r="B10" s="5" t="s">
        <v>408</v>
      </c>
      <c r="C10" s="6" t="s">
        <v>409</v>
      </c>
      <c r="D10" s="4" t="s">
        <v>399</v>
      </c>
      <c r="E10" s="4"/>
      <c r="F10" s="4" t="s">
        <v>19</v>
      </c>
      <c r="G10" s="4"/>
      <c r="H10" s="4" t="s">
        <v>14</v>
      </c>
    </row>
    <row r="11" customFormat="false" ht="16.4" hidden="false" customHeight="false" outlineLevel="0" collapsed="false">
      <c r="A11" s="4" t="n">
        <v>7</v>
      </c>
      <c r="B11" s="5" t="s">
        <v>410</v>
      </c>
      <c r="C11" s="6" t="s">
        <v>411</v>
      </c>
      <c r="D11" s="4" t="s">
        <v>399</v>
      </c>
      <c r="E11" s="4"/>
      <c r="F11" s="4" t="s">
        <v>13</v>
      </c>
      <c r="G11" s="4"/>
      <c r="H11" s="4" t="s">
        <v>14</v>
      </c>
    </row>
    <row r="12" customFormat="false" ht="16.4" hidden="false" customHeight="false" outlineLevel="0" collapsed="false">
      <c r="A12" s="4" t="n">
        <v>8</v>
      </c>
      <c r="B12" s="5" t="s">
        <v>412</v>
      </c>
      <c r="C12" s="6" t="s">
        <v>413</v>
      </c>
      <c r="D12" s="4" t="s">
        <v>399</v>
      </c>
      <c r="E12" s="4"/>
      <c r="F12" s="4" t="s">
        <v>13</v>
      </c>
      <c r="G12" s="4"/>
      <c r="H12" s="4" t="s">
        <v>14</v>
      </c>
    </row>
    <row r="13" customFormat="false" ht="16.4" hidden="false" customHeight="false" outlineLevel="0" collapsed="false">
      <c r="A13" s="4" t="n">
        <v>9</v>
      </c>
      <c r="B13" s="5" t="s">
        <v>414</v>
      </c>
      <c r="C13" s="6" t="s">
        <v>415</v>
      </c>
      <c r="D13" s="4" t="s">
        <v>399</v>
      </c>
      <c r="E13" s="4"/>
      <c r="F13" s="4" t="s">
        <v>13</v>
      </c>
      <c r="G13" s="4"/>
      <c r="H13" s="4" t="s">
        <v>14</v>
      </c>
    </row>
    <row r="14" customFormat="false" ht="16.4" hidden="false" customHeight="false" outlineLevel="0" collapsed="false">
      <c r="A14" s="4" t="n">
        <v>10</v>
      </c>
      <c r="B14" s="5" t="s">
        <v>416</v>
      </c>
      <c r="C14" s="6" t="s">
        <v>417</v>
      </c>
      <c r="D14" s="4" t="s">
        <v>399</v>
      </c>
      <c r="E14" s="4"/>
      <c r="F14" s="4" t="s">
        <v>13</v>
      </c>
      <c r="G14" s="4"/>
      <c r="H14" s="4" t="s">
        <v>14</v>
      </c>
    </row>
    <row r="15" customFormat="false" ht="16.4" hidden="false" customHeight="false" outlineLevel="0" collapsed="false">
      <c r="A15" s="4" t="n">
        <v>11</v>
      </c>
      <c r="B15" s="5" t="s">
        <v>418</v>
      </c>
      <c r="C15" s="6" t="s">
        <v>419</v>
      </c>
      <c r="D15" s="4" t="s">
        <v>399</v>
      </c>
      <c r="E15" s="4"/>
      <c r="F15" s="4" t="s">
        <v>13</v>
      </c>
      <c r="G15" s="4"/>
      <c r="H15" s="4" t="s">
        <v>14</v>
      </c>
    </row>
    <row r="16" customFormat="false" ht="16.4" hidden="false" customHeight="false" outlineLevel="0" collapsed="false">
      <c r="A16" s="4" t="n">
        <v>12</v>
      </c>
      <c r="B16" s="5" t="s">
        <v>420</v>
      </c>
      <c r="C16" s="6" t="s">
        <v>421</v>
      </c>
      <c r="D16" s="4" t="s">
        <v>399</v>
      </c>
      <c r="E16" s="4"/>
      <c r="F16" s="4" t="s">
        <v>19</v>
      </c>
      <c r="G16" s="4"/>
      <c r="H16" s="4" t="s">
        <v>14</v>
      </c>
    </row>
    <row r="17" customFormat="false" ht="16.4" hidden="false" customHeight="false" outlineLevel="0" collapsed="false">
      <c r="A17" s="4" t="n">
        <v>13</v>
      </c>
      <c r="B17" s="5" t="s">
        <v>422</v>
      </c>
      <c r="C17" s="6" t="s">
        <v>423</v>
      </c>
      <c r="D17" s="4" t="s">
        <v>399</v>
      </c>
      <c r="E17" s="4"/>
      <c r="F17" s="4" t="s">
        <v>13</v>
      </c>
      <c r="G17" s="4"/>
      <c r="H17" s="4" t="s">
        <v>14</v>
      </c>
    </row>
    <row r="18" customFormat="false" ht="16.4" hidden="false" customHeight="false" outlineLevel="0" collapsed="false">
      <c r="A18" s="4" t="n">
        <v>14</v>
      </c>
      <c r="B18" s="5" t="s">
        <v>424</v>
      </c>
      <c r="C18" s="6" t="s">
        <v>425</v>
      </c>
      <c r="D18" s="4" t="s">
        <v>399</v>
      </c>
      <c r="E18" s="4"/>
      <c r="F18" s="4" t="s">
        <v>13</v>
      </c>
      <c r="G18" s="4"/>
      <c r="H18" s="4" t="s">
        <v>14</v>
      </c>
    </row>
    <row r="19" customFormat="false" ht="16.4" hidden="false" customHeight="false" outlineLevel="0" collapsed="false">
      <c r="A19" s="4" t="n">
        <v>15</v>
      </c>
      <c r="B19" s="5" t="s">
        <v>426</v>
      </c>
      <c r="C19" s="6" t="s">
        <v>427</v>
      </c>
      <c r="D19" s="4" t="s">
        <v>399</v>
      </c>
      <c r="E19" s="4"/>
      <c r="F19" s="4" t="s">
        <v>19</v>
      </c>
      <c r="G19" s="4"/>
      <c r="H19" s="4" t="s">
        <v>14</v>
      </c>
    </row>
    <row r="20" customFormat="false" ht="16.4" hidden="false" customHeight="false" outlineLevel="0" collapsed="false">
      <c r="A20" s="4" t="n">
        <v>16</v>
      </c>
      <c r="B20" s="5" t="s">
        <v>428</v>
      </c>
      <c r="C20" s="6" t="s">
        <v>429</v>
      </c>
      <c r="D20" s="4" t="s">
        <v>399</v>
      </c>
      <c r="E20" s="4"/>
      <c r="F20" s="4" t="s">
        <v>13</v>
      </c>
      <c r="G20" s="4"/>
      <c r="H20" s="4" t="s">
        <v>14</v>
      </c>
    </row>
    <row r="21" customFormat="false" ht="16.4" hidden="false" customHeight="false" outlineLevel="0" collapsed="false">
      <c r="A21" s="4" t="n">
        <v>17</v>
      </c>
      <c r="B21" s="5" t="s">
        <v>430</v>
      </c>
      <c r="C21" s="6" t="s">
        <v>431</v>
      </c>
      <c r="D21" s="4" t="s">
        <v>399</v>
      </c>
      <c r="E21" s="4"/>
      <c r="F21" s="4" t="s">
        <v>13</v>
      </c>
      <c r="G21" s="4"/>
      <c r="H21" s="4" t="s">
        <v>14</v>
      </c>
    </row>
    <row r="22" customFormat="false" ht="16.4" hidden="false" customHeight="false" outlineLevel="0" collapsed="false">
      <c r="A22" s="4" t="n">
        <v>18</v>
      </c>
      <c r="B22" s="5" t="s">
        <v>432</v>
      </c>
      <c r="C22" s="6" t="s">
        <v>433</v>
      </c>
      <c r="D22" s="4" t="s">
        <v>399</v>
      </c>
      <c r="E22" s="4"/>
      <c r="F22" s="4" t="s">
        <v>13</v>
      </c>
      <c r="G22" s="4"/>
      <c r="H22" s="4" t="s">
        <v>14</v>
      </c>
    </row>
    <row r="23" customFormat="false" ht="16.4" hidden="false" customHeight="false" outlineLevel="0" collapsed="false">
      <c r="A23" s="4" t="n">
        <v>19</v>
      </c>
      <c r="B23" s="5" t="s">
        <v>434</v>
      </c>
      <c r="C23" s="6" t="s">
        <v>435</v>
      </c>
      <c r="D23" s="4" t="s">
        <v>399</v>
      </c>
      <c r="E23" s="4"/>
      <c r="F23" s="4" t="s">
        <v>13</v>
      </c>
      <c r="G23" s="4"/>
      <c r="H23" s="4" t="s">
        <v>14</v>
      </c>
    </row>
    <row r="24" customFormat="false" ht="16.4" hidden="false" customHeight="false" outlineLevel="0" collapsed="false">
      <c r="A24" s="4" t="n">
        <v>20</v>
      </c>
      <c r="B24" s="5" t="s">
        <v>436</v>
      </c>
      <c r="C24" s="6" t="s">
        <v>437</v>
      </c>
      <c r="D24" s="4" t="s">
        <v>399</v>
      </c>
      <c r="E24" s="4"/>
      <c r="F24" s="4" t="s">
        <v>13</v>
      </c>
      <c r="G24" s="4"/>
      <c r="H24" s="4" t="s">
        <v>14</v>
      </c>
    </row>
    <row r="25" customFormat="false" ht="16.4" hidden="false" customHeight="false" outlineLevel="0" collapsed="false">
      <c r="A25" s="4" t="n">
        <v>21</v>
      </c>
      <c r="B25" s="5" t="s">
        <v>438</v>
      </c>
      <c r="C25" s="6" t="s">
        <v>439</v>
      </c>
      <c r="D25" s="4" t="s">
        <v>399</v>
      </c>
      <c r="E25" s="4"/>
      <c r="F25" s="4" t="s">
        <v>13</v>
      </c>
      <c r="G25" s="4"/>
      <c r="H25" s="4" t="s">
        <v>14</v>
      </c>
    </row>
    <row r="26" customFormat="false" ht="16.4" hidden="false" customHeight="false" outlineLevel="0" collapsed="false">
      <c r="A26" s="4" t="n">
        <v>22</v>
      </c>
      <c r="B26" s="5" t="s">
        <v>440</v>
      </c>
      <c r="C26" s="6" t="s">
        <v>441</v>
      </c>
      <c r="D26" s="4" t="s">
        <v>399</v>
      </c>
      <c r="E26" s="4"/>
      <c r="F26" s="4" t="s">
        <v>13</v>
      </c>
      <c r="G26" s="4"/>
      <c r="H26" s="4" t="s">
        <v>14</v>
      </c>
    </row>
    <row r="27" customFormat="false" ht="16.4" hidden="false" customHeight="false" outlineLevel="0" collapsed="false">
      <c r="A27" s="4" t="n">
        <v>23</v>
      </c>
      <c r="B27" s="5" t="s">
        <v>442</v>
      </c>
      <c r="C27" s="6" t="s">
        <v>443</v>
      </c>
      <c r="D27" s="4" t="s">
        <v>399</v>
      </c>
      <c r="E27" s="4"/>
      <c r="F27" s="4" t="s">
        <v>13</v>
      </c>
      <c r="G27" s="4"/>
      <c r="H27" s="4" t="s">
        <v>14</v>
      </c>
    </row>
    <row r="28" customFormat="false" ht="16.4" hidden="false" customHeight="false" outlineLevel="0" collapsed="false">
      <c r="A28" s="4" t="n">
        <v>24</v>
      </c>
      <c r="B28" s="5" t="s">
        <v>444</v>
      </c>
      <c r="C28" s="6" t="s">
        <v>445</v>
      </c>
      <c r="D28" s="4" t="s">
        <v>399</v>
      </c>
      <c r="E28" s="4"/>
      <c r="F28" s="4" t="s">
        <v>13</v>
      </c>
      <c r="G28" s="4"/>
      <c r="H28" s="4" t="s">
        <v>14</v>
      </c>
    </row>
    <row r="29" customFormat="false" ht="16.4" hidden="false" customHeight="false" outlineLevel="0" collapsed="false">
      <c r="A29" s="4" t="n">
        <v>25</v>
      </c>
      <c r="B29" s="5" t="s">
        <v>446</v>
      </c>
      <c r="C29" s="6" t="s">
        <v>447</v>
      </c>
      <c r="D29" s="4" t="s">
        <v>399</v>
      </c>
      <c r="E29" s="4"/>
      <c r="F29" s="4" t="s">
        <v>13</v>
      </c>
      <c r="G29" s="4"/>
      <c r="H29" s="4" t="s">
        <v>14</v>
      </c>
    </row>
    <row r="30" customFormat="false" ht="16.4" hidden="false" customHeight="false" outlineLevel="0" collapsed="false">
      <c r="A30" s="4" t="n">
        <v>26</v>
      </c>
      <c r="B30" s="5" t="s">
        <v>448</v>
      </c>
      <c r="C30" s="6" t="s">
        <v>449</v>
      </c>
      <c r="D30" s="4" t="s">
        <v>399</v>
      </c>
      <c r="E30" s="4"/>
      <c r="F30" s="4" t="s">
        <v>13</v>
      </c>
      <c r="G30" s="4"/>
      <c r="H30" s="4" t="s">
        <v>14</v>
      </c>
    </row>
    <row r="31" customFormat="false" ht="16.4" hidden="false" customHeight="false" outlineLevel="0" collapsed="false">
      <c r="A31" s="4" t="n">
        <v>27</v>
      </c>
      <c r="B31" s="5" t="s">
        <v>450</v>
      </c>
      <c r="C31" s="6" t="s">
        <v>451</v>
      </c>
      <c r="D31" s="4" t="s">
        <v>399</v>
      </c>
      <c r="E31" s="4"/>
      <c r="F31" s="4" t="s">
        <v>13</v>
      </c>
      <c r="G31" s="4"/>
      <c r="H31" s="4" t="s">
        <v>14</v>
      </c>
    </row>
    <row r="32" customFormat="false" ht="16.4" hidden="false" customHeight="false" outlineLevel="0" collapsed="false">
      <c r="A32" s="4" t="n">
        <v>28</v>
      </c>
      <c r="B32" s="5" t="s">
        <v>452</v>
      </c>
      <c r="C32" s="6" t="s">
        <v>453</v>
      </c>
      <c r="D32" s="4" t="s">
        <v>399</v>
      </c>
      <c r="E32" s="4"/>
      <c r="F32" s="4" t="s">
        <v>13</v>
      </c>
      <c r="G32" s="4"/>
      <c r="H32" s="4" t="s">
        <v>14</v>
      </c>
    </row>
    <row r="33" customFormat="false" ht="16.4" hidden="false" customHeight="false" outlineLevel="0" collapsed="false">
      <c r="A33" s="4" t="n">
        <v>29</v>
      </c>
      <c r="B33" s="5" t="s">
        <v>454</v>
      </c>
      <c r="C33" s="6" t="s">
        <v>455</v>
      </c>
      <c r="D33" s="4" t="s">
        <v>399</v>
      </c>
      <c r="E33" s="4"/>
      <c r="F33" s="4" t="s">
        <v>19</v>
      </c>
      <c r="G33" s="4"/>
      <c r="H33" s="4" t="s">
        <v>14</v>
      </c>
    </row>
    <row r="34" customFormat="false" ht="16.4" hidden="false" customHeight="false" outlineLevel="0" collapsed="false">
      <c r="A34" s="4" t="n">
        <v>30</v>
      </c>
      <c r="B34" s="5" t="s">
        <v>456</v>
      </c>
      <c r="C34" s="6" t="s">
        <v>457</v>
      </c>
      <c r="D34" s="4" t="s">
        <v>399</v>
      </c>
      <c r="E34" s="4"/>
      <c r="F34" s="4" t="s">
        <v>13</v>
      </c>
      <c r="G34" s="4"/>
      <c r="H34" s="4" t="s">
        <v>14</v>
      </c>
    </row>
    <row r="35" customFormat="false" ht="16.4" hidden="false" customHeight="false" outlineLevel="0" collapsed="false">
      <c r="A35" s="4" t="n">
        <v>31</v>
      </c>
      <c r="B35" s="5" t="s">
        <v>458</v>
      </c>
      <c r="C35" s="6" t="s">
        <v>459</v>
      </c>
      <c r="D35" s="4" t="s">
        <v>399</v>
      </c>
      <c r="E35" s="4"/>
      <c r="F35" s="4" t="s">
        <v>13</v>
      </c>
      <c r="G35" s="4"/>
      <c r="H35" s="4" t="s">
        <v>14</v>
      </c>
    </row>
    <row r="36" customFormat="false" ht="16.4" hidden="false" customHeight="false" outlineLevel="0" collapsed="false">
      <c r="A36" s="4" t="n">
        <v>32</v>
      </c>
      <c r="B36" s="5" t="s">
        <v>460</v>
      </c>
      <c r="C36" s="6" t="s">
        <v>461</v>
      </c>
      <c r="D36" s="4" t="s">
        <v>399</v>
      </c>
      <c r="E36" s="4"/>
      <c r="F36" s="4" t="s">
        <v>13</v>
      </c>
      <c r="G36" s="4"/>
      <c r="H36" s="4" t="s">
        <v>14</v>
      </c>
    </row>
    <row r="37" customFormat="false" ht="16.4" hidden="false" customHeight="false" outlineLevel="0" collapsed="false">
      <c r="A37" s="4" t="n">
        <v>33</v>
      </c>
      <c r="B37" s="5" t="s">
        <v>462</v>
      </c>
      <c r="C37" s="6" t="s">
        <v>463</v>
      </c>
      <c r="D37" s="4" t="s">
        <v>399</v>
      </c>
      <c r="E37" s="4"/>
      <c r="F37" s="4" t="s">
        <v>13</v>
      </c>
      <c r="G37" s="4"/>
      <c r="H37" s="4" t="s">
        <v>14</v>
      </c>
    </row>
    <row r="38" customFormat="false" ht="16.4" hidden="false" customHeight="false" outlineLevel="0" collapsed="false">
      <c r="A38" s="4" t="n">
        <v>34</v>
      </c>
      <c r="B38" s="5" t="s">
        <v>464</v>
      </c>
      <c r="C38" s="6" t="s">
        <v>465</v>
      </c>
      <c r="D38" s="4" t="s">
        <v>399</v>
      </c>
      <c r="E38" s="4"/>
      <c r="F38" s="4" t="s">
        <v>13</v>
      </c>
      <c r="G38" s="4"/>
      <c r="H38" s="4" t="s">
        <v>14</v>
      </c>
    </row>
    <row r="39" customFormat="false" ht="16.4" hidden="false" customHeight="false" outlineLevel="0" collapsed="false">
      <c r="A39" s="4" t="n">
        <v>35</v>
      </c>
      <c r="B39" s="5" t="s">
        <v>466</v>
      </c>
      <c r="C39" s="6" t="s">
        <v>467</v>
      </c>
      <c r="D39" s="4" t="s">
        <v>399</v>
      </c>
      <c r="E39" s="4"/>
      <c r="F39" s="4" t="s">
        <v>13</v>
      </c>
      <c r="G39" s="4"/>
      <c r="H39" s="4" t="s">
        <v>14</v>
      </c>
    </row>
    <row r="40" customFormat="false" ht="16.4" hidden="false" customHeight="false" outlineLevel="0" collapsed="false">
      <c r="A40" s="4" t="n">
        <v>36</v>
      </c>
      <c r="B40" s="5" t="s">
        <v>468</v>
      </c>
      <c r="C40" s="6" t="s">
        <v>469</v>
      </c>
      <c r="D40" s="4" t="s">
        <v>399</v>
      </c>
      <c r="E40" s="4"/>
      <c r="F40" s="4" t="s">
        <v>13</v>
      </c>
      <c r="G40" s="4"/>
      <c r="H40" s="4" t="s">
        <v>14</v>
      </c>
    </row>
    <row r="41" customFormat="false" ht="16.4" hidden="false" customHeight="false" outlineLevel="0" collapsed="false">
      <c r="A41" s="4" t="n">
        <v>37</v>
      </c>
      <c r="B41" s="5" t="s">
        <v>470</v>
      </c>
      <c r="C41" s="6" t="s">
        <v>471</v>
      </c>
      <c r="D41" s="4" t="s">
        <v>399</v>
      </c>
      <c r="E41" s="4"/>
      <c r="F41" s="4" t="s">
        <v>13</v>
      </c>
      <c r="G41" s="4"/>
      <c r="H41" s="4" t="s">
        <v>14</v>
      </c>
    </row>
    <row r="42" customFormat="false" ht="16.4" hidden="false" customHeight="false" outlineLevel="0" collapsed="false">
      <c r="A42" s="4" t="n">
        <v>38</v>
      </c>
      <c r="B42" s="5" t="s">
        <v>472</v>
      </c>
      <c r="C42" s="6" t="s">
        <v>473</v>
      </c>
      <c r="D42" s="4" t="s">
        <v>399</v>
      </c>
      <c r="E42" s="4"/>
      <c r="F42" s="4" t="s">
        <v>13</v>
      </c>
      <c r="G42" s="4"/>
      <c r="H42" s="4" t="s">
        <v>14</v>
      </c>
    </row>
    <row r="43" customFormat="false" ht="16.4" hidden="false" customHeight="false" outlineLevel="0" collapsed="false">
      <c r="A43" s="4" t="n">
        <v>39</v>
      </c>
      <c r="B43" s="5" t="s">
        <v>474</v>
      </c>
      <c r="C43" s="6" t="s">
        <v>475</v>
      </c>
      <c r="D43" s="4" t="s">
        <v>399</v>
      </c>
      <c r="E43" s="4"/>
      <c r="F43" s="4" t="s">
        <v>13</v>
      </c>
      <c r="G43" s="4"/>
      <c r="H43" s="4" t="s">
        <v>14</v>
      </c>
    </row>
    <row r="44" customFormat="false" ht="16.4" hidden="false" customHeight="false" outlineLevel="0" collapsed="false">
      <c r="A44" s="4" t="n">
        <v>40</v>
      </c>
      <c r="B44" s="5" t="s">
        <v>476</v>
      </c>
      <c r="C44" s="6" t="s">
        <v>477</v>
      </c>
      <c r="D44" s="4" t="s">
        <v>399</v>
      </c>
      <c r="E44" s="4"/>
      <c r="F44" s="4" t="s">
        <v>13</v>
      </c>
      <c r="G44" s="4"/>
      <c r="H44" s="4" t="s">
        <v>14</v>
      </c>
    </row>
    <row r="45" customFormat="false" ht="16.4" hidden="false" customHeight="false" outlineLevel="0" collapsed="false">
      <c r="A45" s="4" t="n">
        <v>41</v>
      </c>
      <c r="B45" s="5" t="s">
        <v>478</v>
      </c>
      <c r="C45" s="6" t="s">
        <v>479</v>
      </c>
      <c r="D45" s="4" t="s">
        <v>399</v>
      </c>
      <c r="E45" s="4"/>
      <c r="F45" s="4" t="s">
        <v>13</v>
      </c>
      <c r="G45" s="4"/>
      <c r="H45" s="4" t="s">
        <v>14</v>
      </c>
    </row>
    <row r="46" customFormat="false" ht="16.4" hidden="false" customHeight="false" outlineLevel="0" collapsed="false">
      <c r="A46" s="4" t="n">
        <v>42</v>
      </c>
      <c r="B46" s="5" t="s">
        <v>480</v>
      </c>
      <c r="C46" s="6" t="s">
        <v>481</v>
      </c>
      <c r="D46" s="4" t="s">
        <v>399</v>
      </c>
      <c r="E46" s="4"/>
      <c r="F46" s="4" t="s">
        <v>13</v>
      </c>
      <c r="G46" s="4"/>
      <c r="H46" s="4" t="s">
        <v>14</v>
      </c>
    </row>
    <row r="47" customFormat="false" ht="16.4" hidden="false" customHeight="false" outlineLevel="0" collapsed="false">
      <c r="A47" s="4" t="n">
        <v>43</v>
      </c>
      <c r="B47" s="5" t="s">
        <v>482</v>
      </c>
      <c r="C47" s="6" t="s">
        <v>483</v>
      </c>
      <c r="D47" s="4" t="s">
        <v>399</v>
      </c>
      <c r="E47" s="4"/>
      <c r="F47" s="4" t="s">
        <v>13</v>
      </c>
      <c r="G47" s="4"/>
      <c r="H47" s="4" t="s">
        <v>14</v>
      </c>
    </row>
    <row r="48" customFormat="false" ht="16.4" hidden="false" customHeight="false" outlineLevel="0" collapsed="false">
      <c r="A48" s="4" t="n">
        <v>44</v>
      </c>
      <c r="B48" s="5" t="s">
        <v>484</v>
      </c>
      <c r="C48" s="6" t="s">
        <v>485</v>
      </c>
      <c r="D48" s="4" t="s">
        <v>399</v>
      </c>
      <c r="E48" s="4"/>
      <c r="F48" s="4" t="s">
        <v>13</v>
      </c>
      <c r="G48" s="4"/>
      <c r="H48" s="4" t="s">
        <v>14</v>
      </c>
    </row>
    <row r="49" customFormat="false" ht="16.4" hidden="false" customHeight="false" outlineLevel="0" collapsed="false">
      <c r="A49" s="4" t="n">
        <v>45</v>
      </c>
      <c r="B49" s="5" t="s">
        <v>486</v>
      </c>
      <c r="C49" s="6" t="s">
        <v>487</v>
      </c>
      <c r="D49" s="4" t="s">
        <v>399</v>
      </c>
      <c r="E49" s="4"/>
      <c r="F49" s="4" t="s">
        <v>13</v>
      </c>
      <c r="G49" s="4"/>
      <c r="H49" s="4" t="s">
        <v>14</v>
      </c>
    </row>
    <row r="50" customFormat="false" ht="16.4" hidden="false" customHeight="false" outlineLevel="0" collapsed="false">
      <c r="A50" s="4" t="n">
        <v>46</v>
      </c>
      <c r="B50" s="5" t="s">
        <v>488</v>
      </c>
      <c r="C50" s="6" t="s">
        <v>489</v>
      </c>
      <c r="D50" s="4" t="s">
        <v>399</v>
      </c>
      <c r="E50" s="4"/>
      <c r="F50" s="4" t="s">
        <v>13</v>
      </c>
      <c r="G50" s="4"/>
      <c r="H50" s="4" t="s">
        <v>14</v>
      </c>
    </row>
    <row r="51" customFormat="false" ht="16.4" hidden="false" customHeight="false" outlineLevel="0" collapsed="false">
      <c r="A51" s="4" t="n">
        <v>47</v>
      </c>
      <c r="B51" s="5" t="s">
        <v>490</v>
      </c>
      <c r="C51" s="6" t="s">
        <v>491</v>
      </c>
      <c r="D51" s="4" t="s">
        <v>399</v>
      </c>
      <c r="E51" s="4"/>
      <c r="F51" s="4" t="s">
        <v>13</v>
      </c>
      <c r="G51" s="4"/>
      <c r="H51" s="4" t="s">
        <v>14</v>
      </c>
    </row>
    <row r="52" customFormat="false" ht="16.4" hidden="false" customHeight="false" outlineLevel="0" collapsed="false">
      <c r="A52" s="4" t="n">
        <v>48</v>
      </c>
      <c r="B52" s="5" t="s">
        <v>492</v>
      </c>
      <c r="C52" s="6" t="s">
        <v>493</v>
      </c>
      <c r="D52" s="4" t="s">
        <v>399</v>
      </c>
      <c r="E52" s="4"/>
      <c r="F52" s="4" t="s">
        <v>13</v>
      </c>
      <c r="G52" s="4"/>
      <c r="H52" s="4" t="s">
        <v>14</v>
      </c>
    </row>
    <row r="53" customFormat="false" ht="16.4" hidden="false" customHeight="false" outlineLevel="0" collapsed="false">
      <c r="A53" s="4" t="n">
        <v>49</v>
      </c>
      <c r="B53" s="5" t="s">
        <v>494</v>
      </c>
      <c r="C53" s="6" t="s">
        <v>495</v>
      </c>
      <c r="D53" s="4" t="s">
        <v>399</v>
      </c>
      <c r="E53" s="4"/>
      <c r="F53" s="4" t="s">
        <v>13</v>
      </c>
      <c r="G53" s="4"/>
      <c r="H53" s="4" t="s">
        <v>14</v>
      </c>
    </row>
    <row r="54" customFormat="false" ht="16.4" hidden="false" customHeight="false" outlineLevel="0" collapsed="false">
      <c r="A54" s="4" t="n">
        <v>50</v>
      </c>
      <c r="B54" s="5" t="s">
        <v>496</v>
      </c>
      <c r="C54" s="6" t="s">
        <v>497</v>
      </c>
      <c r="D54" s="4" t="s">
        <v>399</v>
      </c>
      <c r="E54" s="4"/>
      <c r="F54" s="4" t="s">
        <v>13</v>
      </c>
      <c r="G54" s="4"/>
      <c r="H54" s="4" t="s">
        <v>14</v>
      </c>
    </row>
    <row r="55" customFormat="false" ht="16.4" hidden="false" customHeight="false" outlineLevel="0" collapsed="false">
      <c r="A55" s="4" t="n">
        <v>51</v>
      </c>
      <c r="B55" s="5" t="s">
        <v>498</v>
      </c>
      <c r="C55" s="6" t="s">
        <v>499</v>
      </c>
      <c r="D55" s="4" t="s">
        <v>399</v>
      </c>
      <c r="E55" s="4"/>
      <c r="F55" s="4" t="s">
        <v>13</v>
      </c>
      <c r="G55" s="4"/>
      <c r="H55" s="4" t="s">
        <v>14</v>
      </c>
    </row>
    <row r="56" customFormat="false" ht="16.4" hidden="false" customHeight="false" outlineLevel="0" collapsed="false">
      <c r="A56" s="4" t="n">
        <v>52</v>
      </c>
      <c r="B56" s="5" t="s">
        <v>500</v>
      </c>
      <c r="C56" s="6" t="s">
        <v>501</v>
      </c>
      <c r="D56" s="4" t="s">
        <v>399</v>
      </c>
      <c r="E56" s="4"/>
      <c r="F56" s="4" t="s">
        <v>13</v>
      </c>
      <c r="G56" s="4"/>
      <c r="H56" s="4" t="s">
        <v>14</v>
      </c>
    </row>
    <row r="57" customFormat="false" ht="16.4" hidden="false" customHeight="false" outlineLevel="0" collapsed="false">
      <c r="A57" s="4" t="n">
        <v>53</v>
      </c>
      <c r="B57" s="5" t="s">
        <v>502</v>
      </c>
      <c r="C57" s="6" t="s">
        <v>503</v>
      </c>
      <c r="D57" s="4" t="s">
        <v>399</v>
      </c>
      <c r="E57" s="4"/>
      <c r="F57" s="4" t="s">
        <v>13</v>
      </c>
      <c r="G57" s="4"/>
      <c r="H57" s="4" t="s">
        <v>14</v>
      </c>
    </row>
    <row r="58" customFormat="false" ht="16.4" hidden="false" customHeight="false" outlineLevel="0" collapsed="false">
      <c r="A58" s="4" t="n">
        <v>54</v>
      </c>
      <c r="B58" s="5" t="s">
        <v>504</v>
      </c>
      <c r="C58" s="6" t="s">
        <v>505</v>
      </c>
      <c r="D58" s="4" t="s">
        <v>399</v>
      </c>
      <c r="E58" s="4"/>
      <c r="F58" s="4" t="s">
        <v>13</v>
      </c>
      <c r="G58" s="4"/>
      <c r="H58" s="4" t="s">
        <v>14</v>
      </c>
    </row>
    <row r="59" customFormat="false" ht="16.4" hidden="false" customHeight="false" outlineLevel="0" collapsed="false">
      <c r="A59" s="4" t="n">
        <v>55</v>
      </c>
      <c r="B59" s="5" t="s">
        <v>506</v>
      </c>
      <c r="C59" s="6" t="s">
        <v>507</v>
      </c>
      <c r="D59" s="4" t="s">
        <v>399</v>
      </c>
      <c r="E59" s="4"/>
      <c r="F59" s="4" t="s">
        <v>13</v>
      </c>
      <c r="G59" s="4"/>
      <c r="H59" s="4" t="s">
        <v>14</v>
      </c>
    </row>
    <row r="60" customFormat="false" ht="16.4" hidden="false" customHeight="false" outlineLevel="0" collapsed="false">
      <c r="A60" s="4" t="n">
        <v>56</v>
      </c>
      <c r="B60" s="5" t="s">
        <v>508</v>
      </c>
      <c r="C60" s="6" t="s">
        <v>509</v>
      </c>
      <c r="D60" s="4" t="s">
        <v>399</v>
      </c>
      <c r="E60" s="4"/>
      <c r="F60" s="4" t="s">
        <v>13</v>
      </c>
      <c r="G60" s="4"/>
      <c r="H60" s="4" t="s">
        <v>14</v>
      </c>
    </row>
    <row r="61" customFormat="false" ht="16.4" hidden="false" customHeight="false" outlineLevel="0" collapsed="false">
      <c r="A61" s="4" t="n">
        <v>57</v>
      </c>
      <c r="B61" s="5" t="s">
        <v>510</v>
      </c>
      <c r="C61" s="6" t="s">
        <v>511</v>
      </c>
      <c r="D61" s="4" t="s">
        <v>399</v>
      </c>
      <c r="E61" s="4"/>
      <c r="F61" s="4" t="s">
        <v>13</v>
      </c>
      <c r="G61" s="4"/>
      <c r="H61" s="4" t="s">
        <v>14</v>
      </c>
    </row>
    <row r="62" customFormat="false" ht="16.4" hidden="false" customHeight="false" outlineLevel="0" collapsed="false">
      <c r="A62" s="4" t="n">
        <v>58</v>
      </c>
      <c r="B62" s="5" t="s">
        <v>512</v>
      </c>
      <c r="C62" s="6" t="s">
        <v>513</v>
      </c>
      <c r="D62" s="4" t="s">
        <v>399</v>
      </c>
      <c r="E62" s="4"/>
      <c r="F62" s="4" t="s">
        <v>19</v>
      </c>
      <c r="G62" s="4"/>
      <c r="H62" s="4" t="s">
        <v>14</v>
      </c>
    </row>
    <row r="63" customFormat="false" ht="16.4" hidden="false" customHeight="false" outlineLevel="0" collapsed="false">
      <c r="A63" s="4" t="n">
        <v>59</v>
      </c>
      <c r="B63" s="5" t="s">
        <v>514</v>
      </c>
      <c r="C63" s="6" t="s">
        <v>515</v>
      </c>
      <c r="D63" s="4" t="s">
        <v>399</v>
      </c>
      <c r="E63" s="4"/>
      <c r="F63" s="4" t="s">
        <v>13</v>
      </c>
      <c r="G63" s="4"/>
      <c r="H63" s="4" t="s">
        <v>14</v>
      </c>
    </row>
    <row r="64" customFormat="false" ht="16.4" hidden="false" customHeight="false" outlineLevel="0" collapsed="false">
      <c r="A64" s="4" t="n">
        <v>60</v>
      </c>
      <c r="B64" s="5" t="s">
        <v>516</v>
      </c>
      <c r="C64" s="6" t="s">
        <v>517</v>
      </c>
      <c r="D64" s="4" t="s">
        <v>399</v>
      </c>
      <c r="E64" s="4"/>
      <c r="F64" s="4" t="s">
        <v>13</v>
      </c>
      <c r="G64" s="4"/>
      <c r="H64" s="4" t="s">
        <v>14</v>
      </c>
    </row>
    <row r="65" customFormat="false" ht="16.4" hidden="false" customHeight="false" outlineLevel="0" collapsed="false">
      <c r="A65" s="4" t="n">
        <v>61</v>
      </c>
      <c r="B65" s="5" t="s">
        <v>518</v>
      </c>
      <c r="C65" s="6" t="s">
        <v>519</v>
      </c>
      <c r="D65" s="4" t="s">
        <v>399</v>
      </c>
      <c r="E65" s="4"/>
      <c r="F65" s="4" t="s">
        <v>13</v>
      </c>
      <c r="G65" s="4"/>
      <c r="H65" s="4" t="s">
        <v>14</v>
      </c>
    </row>
    <row r="66" customFormat="false" ht="16.4" hidden="false" customHeight="false" outlineLevel="0" collapsed="false">
      <c r="A66" s="4" t="n">
        <v>62</v>
      </c>
      <c r="B66" s="5" t="s">
        <v>520</v>
      </c>
      <c r="C66" s="6" t="s">
        <v>521</v>
      </c>
      <c r="D66" s="4" t="s">
        <v>399</v>
      </c>
      <c r="E66" s="4"/>
      <c r="F66" s="4" t="s">
        <v>19</v>
      </c>
      <c r="G66" s="4"/>
      <c r="H66" s="4" t="s">
        <v>14</v>
      </c>
    </row>
    <row r="67" customFormat="false" ht="16.4" hidden="false" customHeight="false" outlineLevel="0" collapsed="false">
      <c r="A67" s="4" t="n">
        <v>63</v>
      </c>
      <c r="B67" s="5" t="s">
        <v>522</v>
      </c>
      <c r="C67" s="6" t="s">
        <v>523</v>
      </c>
      <c r="D67" s="4" t="s">
        <v>399</v>
      </c>
      <c r="E67" s="4"/>
      <c r="F67" s="4" t="s">
        <v>13</v>
      </c>
      <c r="G67" s="4"/>
      <c r="H67" s="4" t="s">
        <v>14</v>
      </c>
    </row>
  </sheetData>
  <dataValidations count="2">
    <dataValidation allowBlank="true" errorStyle="stop" operator="between" showDropDown="false" showErrorMessage="false" showInputMessage="false" sqref="F5:F67" type="list">
      <formula1>"ช,ญ"</formula1>
      <formula2>0</formula2>
    </dataValidation>
    <dataValidation allowBlank="true" errorStyle="stop" operator="between" showDropDown="false" showErrorMessage="false" showInputMessage="false" sqref="H5:H67" type="list">
      <formula1>"กำลังศึกษา,พักการศึกษา,พ้นสภาพ"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5"/>
  </cols>
  <sheetData>
    <row r="1" customFormat="false" ht="19.4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3" customFormat="false" ht="34.3" hidden="false" customHeight="false" outlineLevel="0" collapsed="false">
      <c r="A3" s="3" t="s">
        <v>526</v>
      </c>
      <c r="B3" s="3" t="s">
        <v>527</v>
      </c>
      <c r="C3" s="3" t="s">
        <v>5</v>
      </c>
      <c r="D3" s="3" t="s">
        <v>7</v>
      </c>
      <c r="E3" s="3" t="s">
        <v>528</v>
      </c>
      <c r="F3" s="3" t="s">
        <v>529</v>
      </c>
      <c r="G3" s="3" t="s">
        <v>530</v>
      </c>
      <c r="H3" s="3" t="s">
        <v>531</v>
      </c>
      <c r="I3" s="3" t="s">
        <v>532</v>
      </c>
      <c r="J3" s="3" t="s">
        <v>533</v>
      </c>
      <c r="K3" s="3" t="s">
        <v>534</v>
      </c>
      <c r="L3" s="3" t="s">
        <v>535</v>
      </c>
    </row>
    <row r="4" customFormat="false" ht="16.4" hidden="false" customHeight="false" outlineLevel="0" collapsed="false">
      <c r="A4" s="7" t="s">
        <v>536</v>
      </c>
      <c r="B4" s="8" t="s">
        <v>10</v>
      </c>
      <c r="C4" s="9" t="s">
        <v>12</v>
      </c>
      <c r="D4" s="9" t="s">
        <v>13</v>
      </c>
      <c r="E4" s="9" t="n">
        <v>3</v>
      </c>
      <c r="F4" s="9" t="n">
        <v>0</v>
      </c>
      <c r="G4" s="9"/>
      <c r="H4" s="9"/>
      <c r="I4" s="9"/>
      <c r="J4" s="9" t="n">
        <v>22</v>
      </c>
      <c r="K4" s="9" t="s">
        <v>537</v>
      </c>
      <c r="L4" s="9" t="s">
        <v>538</v>
      </c>
    </row>
    <row r="5" customFormat="false" ht="16.4" hidden="false" customHeight="false" outlineLevel="0" collapsed="false">
      <c r="A5" s="7" t="s">
        <v>539</v>
      </c>
      <c r="B5" s="8" t="s">
        <v>143</v>
      </c>
      <c r="C5" s="9" t="s">
        <v>145</v>
      </c>
      <c r="D5" s="9" t="s">
        <v>13</v>
      </c>
      <c r="E5" s="9" t="n">
        <v>9</v>
      </c>
      <c r="F5" s="9" t="n">
        <v>1</v>
      </c>
      <c r="G5" s="9" t="n">
        <v>15</v>
      </c>
      <c r="H5" s="9" t="n">
        <v>1</v>
      </c>
      <c r="I5" s="9" t="n">
        <v>11</v>
      </c>
      <c r="J5" s="9" t="n">
        <v>61</v>
      </c>
      <c r="K5" s="9" t="s">
        <v>540</v>
      </c>
      <c r="L5" s="9" t="s">
        <v>541</v>
      </c>
    </row>
    <row r="6" customFormat="false" ht="16.4" hidden="false" customHeight="false" outlineLevel="0" collapsed="false">
      <c r="A6" s="7" t="s">
        <v>542</v>
      </c>
      <c r="B6" s="8" t="s">
        <v>397</v>
      </c>
      <c r="C6" s="9" t="s">
        <v>399</v>
      </c>
      <c r="D6" s="9" t="s">
        <v>13</v>
      </c>
      <c r="E6" s="9" t="n">
        <v>12</v>
      </c>
      <c r="F6" s="9" t="n">
        <v>1</v>
      </c>
      <c r="G6" s="9" t="n">
        <v>20</v>
      </c>
      <c r="H6" s="9" t="n">
        <v>1</v>
      </c>
      <c r="I6" s="9" t="n">
        <v>18</v>
      </c>
      <c r="J6" s="9" t="n">
        <v>78</v>
      </c>
      <c r="K6" s="9" t="s">
        <v>537</v>
      </c>
      <c r="L6" s="9" t="s">
        <v>543</v>
      </c>
    </row>
    <row r="7" customFormat="false" ht="15" hidden="false" customHeight="false" outlineLevel="0" collapsed="false">
      <c r="A7" s="6"/>
      <c r="B7" s="5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6"/>
      <c r="B8" s="5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5" hidden="false" customHeight="false" outlineLevel="0" collapsed="false">
      <c r="A9" s="6"/>
      <c r="B9" s="5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6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6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6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6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6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6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6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6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6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6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6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6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false" outlineLevel="0" collapsed="false">
      <c r="A22" s="6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A23" s="6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false" outlineLevel="0" collapsed="false">
      <c r="A24" s="6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6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6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6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6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6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false" outlineLevel="0" collapsed="false">
      <c r="A30" s="6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6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false" outlineLevel="0" collapsed="false">
      <c r="A32" s="6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false" outlineLevel="0" collapsed="false">
      <c r="A33" s="6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6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6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false" outlineLevel="0" collapsed="false">
      <c r="A36" s="6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A37" s="6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6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6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false" outlineLevel="0" collapsed="false">
      <c r="A40" s="6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6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false" outlineLevel="0" collapsed="false">
      <c r="A42" s="6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A43" s="6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false" outlineLevel="0" collapsed="false">
      <c r="A44" s="6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6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6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A47" s="6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false" outlineLevel="0" collapsed="false">
      <c r="A48" s="6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false" outlineLevel="0" collapsed="false">
      <c r="A49" s="6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6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false" outlineLevel="0" collapsed="false">
      <c r="A51" s="6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6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6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6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6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6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6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6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6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6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6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6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6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6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6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6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6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6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6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6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6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6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6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6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6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6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6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6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6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6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6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6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6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6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6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6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6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6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6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6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6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6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6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6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6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6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6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6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6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6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6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6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6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6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6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6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false" outlineLevel="0" collapsed="false">
      <c r="A107" s="6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6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6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6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" hidden="false" customHeight="false" outlineLevel="0" collapsed="false">
      <c r="A111" s="6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" hidden="false" customHeight="false" outlineLevel="0" collapsed="false">
      <c r="A112" s="6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" hidden="false" customHeight="false" outlineLevel="0" collapsed="false">
      <c r="A113" s="6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" hidden="false" customHeight="false" outlineLevel="0" collapsed="false">
      <c r="A114" s="6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false" outlineLevel="0" collapsed="false">
      <c r="A115" s="6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" hidden="false" customHeight="false" outlineLevel="0" collapsed="false">
      <c r="A116" s="6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" hidden="false" customHeight="false" outlineLevel="0" collapsed="false">
      <c r="A117" s="6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" hidden="false" customHeight="false" outlineLevel="0" collapsed="false">
      <c r="A118" s="6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" hidden="false" customHeight="false" outlineLevel="0" collapsed="false">
      <c r="A119" s="6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" hidden="false" customHeight="false" outlineLevel="0" collapsed="false">
      <c r="A120" s="6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" hidden="false" customHeight="false" outlineLevel="0" collapsed="false">
      <c r="A121" s="6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" hidden="false" customHeight="false" outlineLevel="0" collapsed="false">
      <c r="A122" s="6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5" hidden="false" customHeight="false" outlineLevel="0" collapsed="false">
      <c r="A123" s="6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5" hidden="false" customHeight="false" outlineLevel="0" collapsed="false">
      <c r="A124" s="6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5" hidden="false" customHeight="false" outlineLevel="0" collapsed="false">
      <c r="A125" s="6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5" hidden="false" customHeight="false" outlineLevel="0" collapsed="false">
      <c r="A126" s="6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5" hidden="false" customHeight="false" outlineLevel="0" collapsed="false">
      <c r="A127" s="6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5" hidden="false" customHeight="false" outlineLevel="0" collapsed="false">
      <c r="A128" s="6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5" hidden="false" customHeight="false" outlineLevel="0" collapsed="false">
      <c r="A129" s="6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5" hidden="false" customHeight="false" outlineLevel="0" collapsed="false">
      <c r="A130" s="6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5" hidden="false" customHeight="false" outlineLevel="0" collapsed="false">
      <c r="A131" s="6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5" hidden="false" customHeight="false" outlineLevel="0" collapsed="false">
      <c r="A132" s="6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5" hidden="false" customHeight="false" outlineLevel="0" collapsed="false">
      <c r="A133" s="6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5" hidden="false" customHeight="false" outlineLevel="0" collapsed="false">
      <c r="A134" s="6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5" hidden="false" customHeight="false" outlineLevel="0" collapsed="false">
      <c r="A135" s="6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5" hidden="false" customHeight="false" outlineLevel="0" collapsed="false">
      <c r="A136" s="6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5" hidden="false" customHeight="false" outlineLevel="0" collapsed="false">
      <c r="A137" s="6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5" hidden="false" customHeight="false" outlineLevel="0" collapsed="false">
      <c r="A138" s="6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5" hidden="false" customHeight="false" outlineLevel="0" collapsed="false">
      <c r="A139" s="6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5" hidden="false" customHeight="false" outlineLevel="0" collapsed="false">
      <c r="A140" s="6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5" hidden="false" customHeight="false" outlineLevel="0" collapsed="false">
      <c r="A141" s="6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5" hidden="false" customHeight="false" outlineLevel="0" collapsed="false">
      <c r="A142" s="6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5" hidden="false" customHeight="false" outlineLevel="0" collapsed="false">
      <c r="A143" s="6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5" hidden="false" customHeight="false" outlineLevel="0" collapsed="false">
      <c r="A144" s="6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5" hidden="false" customHeight="false" outlineLevel="0" collapsed="false">
      <c r="A145" s="6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5" hidden="false" customHeight="false" outlineLevel="0" collapsed="false">
      <c r="A146" s="6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5" hidden="false" customHeight="false" outlineLevel="0" collapsed="false">
      <c r="A147" s="6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5" hidden="false" customHeight="false" outlineLevel="0" collapsed="false">
      <c r="A148" s="6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5" hidden="false" customHeight="false" outlineLevel="0" collapsed="false">
      <c r="A149" s="6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5" hidden="false" customHeight="false" outlineLevel="0" collapsed="false">
      <c r="A150" s="6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5" hidden="false" customHeight="false" outlineLevel="0" collapsed="false">
      <c r="A151" s="6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5" hidden="false" customHeight="false" outlineLevel="0" collapsed="false">
      <c r="A152" s="6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5" hidden="false" customHeight="false" outlineLevel="0" collapsed="false">
      <c r="A153" s="6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5" hidden="false" customHeight="false" outlineLevel="0" collapsed="false">
      <c r="A154" s="6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5" hidden="false" customHeight="false" outlineLevel="0" collapsed="false">
      <c r="A155" s="6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5" hidden="false" customHeight="false" outlineLevel="0" collapsed="false">
      <c r="A156" s="6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5" hidden="false" customHeight="false" outlineLevel="0" collapsed="false">
      <c r="A157" s="6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5" hidden="false" customHeight="false" outlineLevel="0" collapsed="false">
      <c r="A158" s="6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5" hidden="false" customHeight="false" outlineLevel="0" collapsed="false">
      <c r="A159" s="6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5" hidden="false" customHeight="false" outlineLevel="0" collapsed="false">
      <c r="A160" s="6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5" hidden="false" customHeight="false" outlineLevel="0" collapsed="false">
      <c r="A161" s="6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5" hidden="false" customHeight="false" outlineLevel="0" collapsed="false">
      <c r="A162" s="6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5" hidden="false" customHeight="false" outlineLevel="0" collapsed="false">
      <c r="A163" s="6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5" hidden="false" customHeight="false" outlineLevel="0" collapsed="false">
      <c r="A164" s="6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5" hidden="false" customHeight="false" outlineLevel="0" collapsed="false">
      <c r="A165" s="6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5" hidden="false" customHeight="false" outlineLevel="0" collapsed="false">
      <c r="A166" s="6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5" hidden="false" customHeight="false" outlineLevel="0" collapsed="false">
      <c r="A167" s="6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5" hidden="false" customHeight="false" outlineLevel="0" collapsed="false">
      <c r="A168" s="6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5" hidden="false" customHeight="false" outlineLevel="0" collapsed="false">
      <c r="A169" s="6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5" hidden="false" customHeight="false" outlineLevel="0" collapsed="false">
      <c r="A170" s="6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5" hidden="false" customHeight="false" outlineLevel="0" collapsed="false">
      <c r="A171" s="6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5" hidden="false" customHeight="false" outlineLevel="0" collapsed="false">
      <c r="A172" s="6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5" hidden="false" customHeight="false" outlineLevel="0" collapsed="false">
      <c r="A173" s="6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5" hidden="false" customHeight="false" outlineLevel="0" collapsed="false">
      <c r="A174" s="6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5" hidden="false" customHeight="false" outlineLevel="0" collapsed="false">
      <c r="A175" s="6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5" hidden="false" customHeight="false" outlineLevel="0" collapsed="false">
      <c r="A176" s="6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5" hidden="false" customHeight="false" outlineLevel="0" collapsed="false">
      <c r="A177" s="6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5" hidden="false" customHeight="false" outlineLevel="0" collapsed="false">
      <c r="A178" s="6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5" hidden="false" customHeight="false" outlineLevel="0" collapsed="false">
      <c r="A179" s="6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5" hidden="false" customHeight="false" outlineLevel="0" collapsed="false">
      <c r="A180" s="6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5" hidden="false" customHeight="false" outlineLevel="0" collapsed="false">
      <c r="A181" s="6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5" hidden="false" customHeight="false" outlineLevel="0" collapsed="false">
      <c r="A182" s="6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5" hidden="false" customHeight="false" outlineLevel="0" collapsed="false">
      <c r="A183" s="6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5" hidden="false" customHeight="false" outlineLevel="0" collapsed="false">
      <c r="A184" s="6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5" hidden="false" customHeight="false" outlineLevel="0" collapsed="false">
      <c r="A185" s="6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5" hidden="false" customHeight="false" outlineLevel="0" collapsed="false">
      <c r="A186" s="6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5" hidden="false" customHeight="false" outlineLevel="0" collapsed="false">
      <c r="A187" s="6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5" hidden="false" customHeight="false" outlineLevel="0" collapsed="false">
      <c r="A188" s="6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5" hidden="false" customHeight="false" outlineLevel="0" collapsed="false">
      <c r="A189" s="6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5" hidden="false" customHeight="false" outlineLevel="0" collapsed="false">
      <c r="A190" s="6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5" hidden="false" customHeight="false" outlineLevel="0" collapsed="false">
      <c r="A191" s="6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5" hidden="false" customHeight="false" outlineLevel="0" collapsed="false">
      <c r="A192" s="6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5" hidden="false" customHeight="false" outlineLevel="0" collapsed="false">
      <c r="A193" s="6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5" hidden="false" customHeight="false" outlineLevel="0" collapsed="false">
      <c r="A194" s="6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5" hidden="false" customHeight="false" outlineLevel="0" collapsed="false">
      <c r="A195" s="6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5" hidden="false" customHeight="false" outlineLevel="0" collapsed="false">
      <c r="A196" s="6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5" hidden="false" customHeight="false" outlineLevel="0" collapsed="false">
      <c r="A197" s="6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5" hidden="false" customHeight="false" outlineLevel="0" collapsed="false">
      <c r="A198" s="6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5" hidden="false" customHeight="false" outlineLevel="0" collapsed="false">
      <c r="A199" s="6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5" hidden="false" customHeight="false" outlineLevel="0" collapsed="false">
      <c r="A200" s="6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5" hidden="false" customHeight="false" outlineLevel="0" collapsed="false">
      <c r="A201" s="6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5" hidden="false" customHeight="false" outlineLevel="0" collapsed="false">
      <c r="A202" s="6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5" hidden="false" customHeight="false" outlineLevel="0" collapsed="false">
      <c r="A203" s="6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5" hidden="false" customHeight="false" outlineLevel="0" collapsed="false">
      <c r="A204" s="6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5" hidden="false" customHeight="false" outlineLevel="0" collapsed="false">
      <c r="A205" s="6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5" hidden="false" customHeight="false" outlineLevel="0" collapsed="false">
      <c r="A206" s="6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5" hidden="false" customHeight="false" outlineLevel="0" collapsed="false">
      <c r="A207" s="6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5" hidden="false" customHeight="false" outlineLevel="0" collapsed="false">
      <c r="A208" s="6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5" hidden="false" customHeight="false" outlineLevel="0" collapsed="false">
      <c r="A209" s="6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5" hidden="false" customHeight="false" outlineLevel="0" collapsed="false">
      <c r="A210" s="6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5" hidden="false" customHeight="false" outlineLevel="0" collapsed="false">
      <c r="A211" s="6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5" hidden="false" customHeight="false" outlineLevel="0" collapsed="false">
      <c r="A212" s="6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5" hidden="false" customHeight="false" outlineLevel="0" collapsed="false">
      <c r="A213" s="6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5" hidden="false" customHeight="false" outlineLevel="0" collapsed="false">
      <c r="A214" s="6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5" hidden="false" customHeight="false" outlineLevel="0" collapsed="false">
      <c r="A215" s="6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5" hidden="false" customHeight="false" outlineLevel="0" collapsed="false">
      <c r="A216" s="6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5" hidden="false" customHeight="false" outlineLevel="0" collapsed="false">
      <c r="A217" s="6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5" hidden="false" customHeight="false" outlineLevel="0" collapsed="false">
      <c r="A218" s="6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5" hidden="false" customHeight="false" outlineLevel="0" collapsed="false">
      <c r="A219" s="6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5" hidden="false" customHeight="false" outlineLevel="0" collapsed="false">
      <c r="A220" s="6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5" hidden="false" customHeight="false" outlineLevel="0" collapsed="false">
      <c r="A221" s="6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5" hidden="false" customHeight="false" outlineLevel="0" collapsed="false">
      <c r="A222" s="6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5" hidden="false" customHeight="false" outlineLevel="0" collapsed="false">
      <c r="A223" s="6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5" hidden="false" customHeight="false" outlineLevel="0" collapsed="false">
      <c r="A224" s="6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5" hidden="false" customHeight="false" outlineLevel="0" collapsed="false">
      <c r="A225" s="6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5" hidden="false" customHeight="false" outlineLevel="0" collapsed="false">
      <c r="A226" s="6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5" hidden="false" customHeight="false" outlineLevel="0" collapsed="false">
      <c r="A227" s="6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5" hidden="false" customHeight="false" outlineLevel="0" collapsed="false">
      <c r="A228" s="6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5" hidden="false" customHeight="false" outlineLevel="0" collapsed="false">
      <c r="A229" s="6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5" hidden="false" customHeight="false" outlineLevel="0" collapsed="false">
      <c r="A230" s="6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5" hidden="false" customHeight="false" outlineLevel="0" collapsed="false">
      <c r="A231" s="6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5" hidden="false" customHeight="false" outlineLevel="0" collapsed="false">
      <c r="A232" s="6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5" hidden="false" customHeight="false" outlineLevel="0" collapsed="false">
      <c r="A233" s="6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5" hidden="false" customHeight="false" outlineLevel="0" collapsed="false">
      <c r="A234" s="6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5" hidden="false" customHeight="false" outlineLevel="0" collapsed="false">
      <c r="A235" s="6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5" hidden="false" customHeight="false" outlineLevel="0" collapsed="false">
      <c r="A236" s="6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5" hidden="false" customHeight="false" outlineLevel="0" collapsed="false">
      <c r="A237" s="6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5" hidden="false" customHeight="false" outlineLevel="0" collapsed="false">
      <c r="A238" s="6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5" hidden="false" customHeight="false" outlineLevel="0" collapsed="false">
      <c r="A239" s="6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5" hidden="false" customHeight="false" outlineLevel="0" collapsed="false">
      <c r="A240" s="6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5" hidden="false" customHeight="false" outlineLevel="0" collapsed="false">
      <c r="A241" s="6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5" hidden="false" customHeight="false" outlineLevel="0" collapsed="false">
      <c r="A242" s="6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5" hidden="false" customHeight="false" outlineLevel="0" collapsed="false">
      <c r="A243" s="6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5" hidden="false" customHeight="false" outlineLevel="0" collapsed="false">
      <c r="A244" s="6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5" hidden="false" customHeight="false" outlineLevel="0" collapsed="false">
      <c r="A245" s="6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5" hidden="false" customHeight="false" outlineLevel="0" collapsed="false">
      <c r="A246" s="6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5" hidden="false" customHeight="false" outlineLevel="0" collapsed="false">
      <c r="A247" s="6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5" hidden="false" customHeight="false" outlineLevel="0" collapsed="false">
      <c r="A248" s="6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5" hidden="false" customHeight="false" outlineLevel="0" collapsed="false">
      <c r="A249" s="6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5" hidden="false" customHeight="false" outlineLevel="0" collapsed="false">
      <c r="A250" s="6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5" hidden="false" customHeight="false" outlineLevel="0" collapsed="false">
      <c r="A251" s="6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5" hidden="false" customHeight="false" outlineLevel="0" collapsed="false">
      <c r="A252" s="6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5" hidden="false" customHeight="false" outlineLevel="0" collapsed="false">
      <c r="A253" s="6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5" hidden="false" customHeight="false" outlineLevel="0" collapsed="false">
      <c r="A254" s="6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5" hidden="false" customHeight="false" outlineLevel="0" collapsed="false">
      <c r="A255" s="6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5" hidden="false" customHeight="false" outlineLevel="0" collapsed="false">
      <c r="A256" s="6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5" hidden="false" customHeight="false" outlineLevel="0" collapsed="false">
      <c r="A257" s="6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5" hidden="false" customHeight="false" outlineLevel="0" collapsed="false">
      <c r="A258" s="6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5" hidden="false" customHeight="false" outlineLevel="0" collapsed="false">
      <c r="A259" s="6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5" hidden="false" customHeight="false" outlineLevel="0" collapsed="false">
      <c r="A260" s="6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5" hidden="false" customHeight="false" outlineLevel="0" collapsed="false">
      <c r="A261" s="6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5" hidden="false" customHeight="false" outlineLevel="0" collapsed="false">
      <c r="A262" s="6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5" hidden="false" customHeight="false" outlineLevel="0" collapsed="false">
      <c r="A263" s="6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5" hidden="false" customHeight="false" outlineLevel="0" collapsed="false">
      <c r="A264" s="6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5" hidden="false" customHeight="false" outlineLevel="0" collapsed="false">
      <c r="A265" s="6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5" hidden="false" customHeight="false" outlineLevel="0" collapsed="false">
      <c r="A266" s="6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5" hidden="false" customHeight="false" outlineLevel="0" collapsed="false">
      <c r="A267" s="6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5" hidden="false" customHeight="false" outlineLevel="0" collapsed="false">
      <c r="A268" s="6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5" hidden="false" customHeight="false" outlineLevel="0" collapsed="false">
      <c r="A269" s="6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5" hidden="false" customHeight="false" outlineLevel="0" collapsed="false">
      <c r="A270" s="6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5" hidden="false" customHeight="false" outlineLevel="0" collapsed="false">
      <c r="A271" s="6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5" hidden="false" customHeight="false" outlineLevel="0" collapsed="false">
      <c r="A272" s="6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5" hidden="false" customHeight="false" outlineLevel="0" collapsed="false">
      <c r="A273" s="6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5" hidden="false" customHeight="false" outlineLevel="0" collapsed="false">
      <c r="A274" s="6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5" hidden="false" customHeight="false" outlineLevel="0" collapsed="false">
      <c r="A275" s="6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5" hidden="false" customHeight="false" outlineLevel="0" collapsed="false">
      <c r="A276" s="6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5" hidden="false" customHeight="false" outlineLevel="0" collapsed="false">
      <c r="A277" s="6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5" hidden="false" customHeight="false" outlineLevel="0" collapsed="false">
      <c r="A278" s="6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5" hidden="false" customHeight="false" outlineLevel="0" collapsed="false">
      <c r="A279" s="6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5" hidden="false" customHeight="false" outlineLevel="0" collapsed="false">
      <c r="A280" s="6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5" hidden="false" customHeight="false" outlineLevel="0" collapsed="false">
      <c r="A281" s="6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5" hidden="false" customHeight="false" outlineLevel="0" collapsed="false">
      <c r="A282" s="6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5" hidden="false" customHeight="false" outlineLevel="0" collapsed="false">
      <c r="A283" s="6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5" hidden="false" customHeight="false" outlineLevel="0" collapsed="false">
      <c r="A284" s="6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5" hidden="false" customHeight="false" outlineLevel="0" collapsed="false">
      <c r="A285" s="6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5" hidden="false" customHeight="false" outlineLevel="0" collapsed="false">
      <c r="A286" s="6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5" hidden="false" customHeight="false" outlineLevel="0" collapsed="false">
      <c r="A287" s="6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5" hidden="false" customHeight="false" outlineLevel="0" collapsed="false">
      <c r="A288" s="6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5" hidden="false" customHeight="false" outlineLevel="0" collapsed="false">
      <c r="A289" s="6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5" hidden="false" customHeight="false" outlineLevel="0" collapsed="false">
      <c r="A290" s="6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5" hidden="false" customHeight="false" outlineLevel="0" collapsed="false">
      <c r="A291" s="6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5" hidden="false" customHeight="false" outlineLevel="0" collapsed="false">
      <c r="A292" s="6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5" hidden="false" customHeight="false" outlineLevel="0" collapsed="false">
      <c r="A293" s="6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5" hidden="false" customHeight="false" outlineLevel="0" collapsed="false">
      <c r="A294" s="6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5" hidden="false" customHeight="false" outlineLevel="0" collapsed="false">
      <c r="A295" s="6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5" hidden="false" customHeight="false" outlineLevel="0" collapsed="false">
      <c r="A296" s="6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5" hidden="false" customHeight="false" outlineLevel="0" collapsed="false">
      <c r="A297" s="6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5" hidden="false" customHeight="false" outlineLevel="0" collapsed="false">
      <c r="A298" s="6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5" hidden="false" customHeight="false" outlineLevel="0" collapsed="false">
      <c r="A299" s="6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5" hidden="false" customHeight="false" outlineLevel="0" collapsed="false">
      <c r="A300" s="6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5" hidden="false" customHeight="false" outlineLevel="0" collapsed="false">
      <c r="A301" s="6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5" hidden="false" customHeight="false" outlineLevel="0" collapsed="false">
      <c r="A302" s="6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5" hidden="false" customHeight="false" outlineLevel="0" collapsed="false">
      <c r="A303" s="6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5" hidden="false" customHeight="false" outlineLevel="0" collapsed="false">
      <c r="A304" s="6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5" hidden="false" customHeight="false" outlineLevel="0" collapsed="false">
      <c r="A305" s="6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5" hidden="false" customHeight="false" outlineLevel="0" collapsed="false">
      <c r="A306" s="6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5" hidden="false" customHeight="false" outlineLevel="0" collapsed="false">
      <c r="A307" s="6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5" hidden="false" customHeight="false" outlineLevel="0" collapsed="false">
      <c r="A308" s="6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5" hidden="false" customHeight="false" outlineLevel="0" collapsed="false">
      <c r="A309" s="6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5" hidden="false" customHeight="false" outlineLevel="0" collapsed="false">
      <c r="A310" s="6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5" hidden="false" customHeight="false" outlineLevel="0" collapsed="false">
      <c r="A311" s="6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5" hidden="false" customHeight="false" outlineLevel="0" collapsed="false">
      <c r="A312" s="6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5" hidden="false" customHeight="false" outlineLevel="0" collapsed="false">
      <c r="A313" s="6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5" hidden="false" customHeight="false" outlineLevel="0" collapsed="false">
      <c r="A314" s="6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5" hidden="false" customHeight="false" outlineLevel="0" collapsed="false">
      <c r="A315" s="6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5" hidden="false" customHeight="false" outlineLevel="0" collapsed="false">
      <c r="A316" s="6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5" hidden="false" customHeight="false" outlineLevel="0" collapsed="false">
      <c r="A317" s="6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5" hidden="false" customHeight="false" outlineLevel="0" collapsed="false">
      <c r="A318" s="6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5" hidden="false" customHeight="false" outlineLevel="0" collapsed="false">
      <c r="A319" s="6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5" hidden="false" customHeight="false" outlineLevel="0" collapsed="false">
      <c r="A320" s="6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8" min="3" style="0" width="15"/>
  </cols>
  <sheetData>
    <row r="1" customFormat="false" ht="20.9" hidden="false" customHeight="false" outlineLevel="0" collapsed="false">
      <c r="B1" s="10" t="s">
        <v>544</v>
      </c>
    </row>
    <row r="2" customFormat="false" ht="15" hidden="false" customHeight="false" outlineLevel="0" collapsed="false">
      <c r="B2" s="2" t="s">
        <v>545</v>
      </c>
    </row>
    <row r="4" customFormat="false" ht="19.4" hidden="false" customHeight="false" outlineLevel="0" collapsed="false">
      <c r="B4" s="11" t="s">
        <v>546</v>
      </c>
    </row>
    <row r="5" customFormat="false" ht="17.9" hidden="false" customHeight="false" outlineLevel="0" collapsed="false">
      <c r="B5" s="3" t="s">
        <v>547</v>
      </c>
      <c r="C5" s="3" t="s">
        <v>548</v>
      </c>
      <c r="D5" s="3" t="s">
        <v>549</v>
      </c>
    </row>
    <row r="6" customFormat="false" ht="16.4" hidden="false" customHeight="false" outlineLevel="0" collapsed="false">
      <c r="B6" s="4" t="s">
        <v>543</v>
      </c>
      <c r="C6" s="4" t="n">
        <f aca="false">COUNTIF(บันทึกผลประเมิน!$L$4:$L$320,"RED")</f>
        <v>1</v>
      </c>
      <c r="D6" s="6" t="s">
        <v>550</v>
      </c>
    </row>
    <row r="7" customFormat="false" ht="16.4" hidden="false" customHeight="false" outlineLevel="0" collapsed="false">
      <c r="B7" s="4" t="s">
        <v>541</v>
      </c>
      <c r="C7" s="4" t="n">
        <f aca="false">COUNTIF(บันทึกผลประเมิน!$L$4:$L$320,"ORANGE")</f>
        <v>1</v>
      </c>
      <c r="D7" s="6" t="s">
        <v>551</v>
      </c>
    </row>
    <row r="8" customFormat="false" ht="16.4" hidden="false" customHeight="false" outlineLevel="0" collapsed="false">
      <c r="B8" s="4" t="s">
        <v>552</v>
      </c>
      <c r="C8" s="4" t="n">
        <f aca="false">COUNTIF(บันทึกผลประเมิน!$L$4:$L$320,"YELLOW")</f>
        <v>0</v>
      </c>
      <c r="D8" s="6" t="s">
        <v>553</v>
      </c>
    </row>
    <row r="9" customFormat="false" ht="16.15" hidden="false" customHeight="false" outlineLevel="0" collapsed="false">
      <c r="B9" s="4" t="s">
        <v>538</v>
      </c>
      <c r="C9" s="4" t="n">
        <f aca="false">COUNTIF(บันทึกผลประเมิน!$L$4:$L$320,"GREEN")</f>
        <v>1</v>
      </c>
      <c r="D9" s="6" t="s">
        <v>554</v>
      </c>
    </row>
    <row r="10" customFormat="false" ht="16.15" hidden="false" customHeight="false" outlineLevel="0" collapsed="false">
      <c r="B10" s="12" t="s">
        <v>555</v>
      </c>
      <c r="C10" s="12" t="n">
        <f aca="false">SUM(C6:C9)</f>
        <v>3</v>
      </c>
    </row>
    <row r="12" customFormat="false" ht="19.4" hidden="false" customHeight="false" outlineLevel="0" collapsed="false">
      <c r="B12" s="11" t="s">
        <v>556</v>
      </c>
    </row>
    <row r="13" customFormat="false" ht="29.85" hidden="false" customHeight="false" outlineLevel="0" collapsed="false">
      <c r="B13" s="13" t="s">
        <v>5</v>
      </c>
      <c r="C13" s="13" t="s">
        <v>557</v>
      </c>
      <c r="D13" s="13" t="s">
        <v>558</v>
      </c>
      <c r="E13" s="13" t="s">
        <v>559</v>
      </c>
      <c r="F13" s="13" t="s">
        <v>560</v>
      </c>
      <c r="G13" s="13" t="s">
        <v>561</v>
      </c>
    </row>
    <row r="14" customFormat="false" ht="16.4" hidden="false" customHeight="false" outlineLevel="0" collapsed="false">
      <c r="B14" s="6" t="s">
        <v>12</v>
      </c>
      <c r="C14" s="4" t="n">
        <f aca="false">COUNTIF(บันทึกผลประเมิน!$C$4:$C$320,"ปี 1")</f>
        <v>1</v>
      </c>
      <c r="D14" s="4" t="n">
        <f aca="false">COUNTIFS(บันทึกผลประเมิน!$C$4:$C$320,"ปี 1",บันทึกผลประเมิน!$L$4:$L$320,"RED")</f>
        <v>0</v>
      </c>
      <c r="E14" s="4" t="n">
        <f aca="false">COUNTIFS(บันทึกผลประเมิน!$C$4:$C$320,"ปี 1",บันทึกผลประเมิน!$L$4:$L$320,"ORANGE")</f>
        <v>0</v>
      </c>
      <c r="F14" s="4" t="n">
        <f aca="false">COUNTIFS(บันทึกผลประเมิน!$C$4:$C$320,"ปี 1",บันทึกผลประเมิน!$L$4:$L$320,"YELLOW")</f>
        <v>0</v>
      </c>
      <c r="G14" s="4" t="n">
        <f aca="false">SUM(D14:F14)</f>
        <v>0</v>
      </c>
    </row>
    <row r="15" customFormat="false" ht="16.4" hidden="false" customHeight="false" outlineLevel="0" collapsed="false">
      <c r="B15" s="6" t="s">
        <v>145</v>
      </c>
      <c r="C15" s="4" t="n">
        <f aca="false">COUNTIF(บันทึกผลประเมิน!$C$4:$C$320,"ปี 2")</f>
        <v>1</v>
      </c>
      <c r="D15" s="4" t="n">
        <f aca="false">COUNTIFS(บันทึกผลประเมิน!$C$4:$C$320,"ปี 2",บันทึกผลประเมิน!$L$4:$L$320,"RED")</f>
        <v>0</v>
      </c>
      <c r="E15" s="4" t="n">
        <f aca="false">COUNTIFS(บันทึกผลประเมิน!$C$4:$C$320,"ปี 2",บันทึกผลประเมิน!$L$4:$L$320,"ORANGE")</f>
        <v>1</v>
      </c>
      <c r="F15" s="4" t="n">
        <f aca="false">COUNTIFS(บันทึกผลประเมิน!$C$4:$C$320,"ปี 2",บันทึกผลประเมิน!$L$4:$L$320,"YELLOW")</f>
        <v>0</v>
      </c>
      <c r="G15" s="4" t="n">
        <f aca="false">SUM(D15:F15)</f>
        <v>1</v>
      </c>
    </row>
    <row r="16" customFormat="false" ht="16.4" hidden="false" customHeight="false" outlineLevel="0" collapsed="false">
      <c r="B16" s="6" t="s">
        <v>275</v>
      </c>
      <c r="C16" s="4" t="n">
        <f aca="false">COUNTIF(บันทึกผลประเมิน!$C$4:$C$320,"ปี 3")</f>
        <v>0</v>
      </c>
      <c r="D16" s="4" t="n">
        <f aca="false">COUNTIFS(บันทึกผลประเมิน!$C$4:$C$320,"ปี 3",บันทึกผลประเมิน!$L$4:$L$320,"RED")</f>
        <v>0</v>
      </c>
      <c r="E16" s="4" t="n">
        <f aca="false">COUNTIFS(บันทึกผลประเมิน!$C$4:$C$320,"ปี 3",บันทึกผลประเมิน!$L$4:$L$320,"ORANGE")</f>
        <v>0</v>
      </c>
      <c r="F16" s="4" t="n">
        <f aca="false">COUNTIFS(บันทึกผลประเมิน!$C$4:$C$320,"ปี 3",บันทึกผลประเมิน!$L$4:$L$320,"YELLOW")</f>
        <v>0</v>
      </c>
      <c r="G16" s="4" t="n">
        <f aca="false">SUM(D16:F16)</f>
        <v>0</v>
      </c>
    </row>
    <row r="17" customFormat="false" ht="16.4" hidden="false" customHeight="false" outlineLevel="0" collapsed="false">
      <c r="B17" s="6" t="s">
        <v>399</v>
      </c>
      <c r="C17" s="4" t="n">
        <f aca="false">COUNTIF(บันทึกผลประเมิน!$C$4:$C$320,"ปี 4")</f>
        <v>1</v>
      </c>
      <c r="D17" s="4" t="n">
        <f aca="false">COUNTIFS(บันทึกผลประเมิน!$C$4:$C$320,"ปี 4",บันทึกผลประเมิน!$L$4:$L$320,"RED")</f>
        <v>1</v>
      </c>
      <c r="E17" s="4" t="n">
        <f aca="false">COUNTIFS(บันทึกผลประเมิน!$C$4:$C$320,"ปี 4",บันทึกผลประเมิน!$L$4:$L$320,"ORANGE")</f>
        <v>0</v>
      </c>
      <c r="F17" s="4" t="n">
        <f aca="false">COUNTIFS(บันทึกผลประเมิน!$C$4:$C$320,"ปี 4",บันทึกผลประเมิน!$L$4:$L$320,"YELLOW")</f>
        <v>0</v>
      </c>
      <c r="G17" s="4" t="n">
        <f aca="false">SUM(D17:F17)</f>
        <v>1</v>
      </c>
    </row>
    <row r="18" customFormat="false" ht="16.15" hidden="false" customHeight="false" outlineLevel="0" collapsed="false">
      <c r="B18" s="12" t="s">
        <v>562</v>
      </c>
      <c r="C18" s="12" t="n">
        <f aca="false">SUM(C14:C17)</f>
        <v>3</v>
      </c>
      <c r="D18" s="12" t="n">
        <f aca="false">SUM(D14:D17)</f>
        <v>1</v>
      </c>
      <c r="E18" s="12" t="n">
        <f aca="false">SUM(E14:E17)</f>
        <v>1</v>
      </c>
      <c r="F18" s="12" t="n">
        <f aca="false">SUM(F14:F17)</f>
        <v>0</v>
      </c>
      <c r="G18" s="12" t="n">
        <f aca="false">SUM(G14:G17)</f>
        <v>2</v>
      </c>
    </row>
    <row r="20" customFormat="false" ht="19.4" hidden="false" customHeight="false" outlineLevel="0" collapsed="false">
      <c r="B20" s="11" t="s">
        <v>563</v>
      </c>
    </row>
    <row r="21" customFormat="false" ht="29.85" hidden="false" customHeight="false" outlineLevel="0" collapsed="false">
      <c r="B21" s="3" t="s">
        <v>564</v>
      </c>
      <c r="C21" s="3" t="s">
        <v>565</v>
      </c>
      <c r="D21" s="3" t="s">
        <v>566</v>
      </c>
      <c r="E21" s="3" t="s">
        <v>567</v>
      </c>
    </row>
    <row r="22" customFormat="false" ht="16.4" hidden="false" customHeight="false" outlineLevel="0" collapsed="false">
      <c r="B22" s="4" t="s">
        <v>528</v>
      </c>
      <c r="C22" s="4" t="n">
        <f aca="false">COUNT(บันทึกผลประเมิน!$E$4:$E$320)</f>
        <v>3</v>
      </c>
      <c r="D22" s="4" t="n">
        <f aca="false">COUNTIF(บันทึกผลประเมิน!$E$4:$E$320,"&gt;=10")</f>
        <v>1</v>
      </c>
      <c r="E22" s="6" t="s">
        <v>568</v>
      </c>
    </row>
    <row r="23" customFormat="false" ht="16.15" hidden="false" customHeight="false" outlineLevel="0" collapsed="false">
      <c r="B23" s="4" t="s">
        <v>529</v>
      </c>
      <c r="C23" s="4" t="n">
        <f aca="false">COUNT(บันทึกผลประเมิน!$F$4:$F$320)</f>
        <v>3</v>
      </c>
      <c r="D23" s="4" t="n">
        <f aca="false">COUNTIF(บันทึกผลประเมิน!$F$4:$F$320,"&gt;=1")</f>
        <v>2</v>
      </c>
      <c r="E23" s="6" t="s">
        <v>569</v>
      </c>
    </row>
    <row r="24" customFormat="false" ht="16.4" hidden="false" customHeight="false" outlineLevel="0" collapsed="false">
      <c r="B24" s="4" t="s">
        <v>530</v>
      </c>
      <c r="C24" s="4" t="n">
        <f aca="false">COUNT(บันทึกผลประเมิน!$G$4:$G$320)</f>
        <v>2</v>
      </c>
      <c r="D24" s="4" t="n">
        <f aca="false">COUNTIF(บันทึกผลประเมิน!$G$4:$G$320,"&gt;=7")</f>
        <v>2</v>
      </c>
      <c r="E24" s="6" t="s">
        <v>570</v>
      </c>
    </row>
    <row r="25" customFormat="false" ht="16.15" hidden="false" customHeight="false" outlineLevel="0" collapsed="false">
      <c r="B25" s="4" t="s">
        <v>532</v>
      </c>
      <c r="C25" s="4" t="n">
        <f aca="false">COUNT(บันทึกผลประเมิน!$I$4:$I$320)</f>
        <v>2</v>
      </c>
      <c r="D25" s="4" t="n">
        <f aca="false">COUNTIF(บันทึกผลประเมิน!$I$4:$I$320,"&gt;=1")</f>
        <v>2</v>
      </c>
      <c r="E25" s="6" t="s">
        <v>571</v>
      </c>
    </row>
    <row r="27" customFormat="false" ht="19.4" hidden="false" customHeight="false" outlineLevel="0" collapsed="false">
      <c r="B27" s="11" t="s">
        <v>572</v>
      </c>
    </row>
    <row r="28" customFormat="false" ht="48.5" hidden="false" customHeight="false" outlineLevel="0" collapsed="false">
      <c r="B28" s="14" t="s">
        <v>7</v>
      </c>
      <c r="C28" s="14" t="s">
        <v>557</v>
      </c>
      <c r="D28" s="14" t="s">
        <v>573</v>
      </c>
    </row>
    <row r="29" customFormat="false" ht="16.15" hidden="false" customHeight="false" outlineLevel="0" collapsed="false">
      <c r="B29" s="6" t="s">
        <v>574</v>
      </c>
      <c r="C29" s="4" t="n">
        <f aca="false">COUNTIF(บันทึกผลประเมิน!$D$4:$D$320,"ช")</f>
        <v>0</v>
      </c>
      <c r="D29" s="4" t="n">
        <f aca="false">COUNTIFS(บันทึกผลประเมิน!$D$4:$D$320,"ช",บันทึกผลประเมิน!$L$4:$L$320,"RED")+COUNTIFS(บันทึกผลประเมิน!$D$4:$D$320,"ช",บันทึกผลประเมิน!$L$4:$L$320,"ORANGE")+COUNTIFS(บันทึกผลประเมิน!$D$4:$D$320,"ช",บันทึกผลประเมิน!$L$4:$L$320,"YELLOW")</f>
        <v>0</v>
      </c>
    </row>
    <row r="30" customFormat="false" ht="16.15" hidden="false" customHeight="false" outlineLevel="0" collapsed="false">
      <c r="B30" s="6" t="s">
        <v>575</v>
      </c>
      <c r="C30" s="4" t="n">
        <f aca="false">COUNTIF(บันทึกผลประเมิน!$D$4:$D$320,"ญ")</f>
        <v>3</v>
      </c>
      <c r="D30" s="4" t="n">
        <f aca="false">COUNTIFS(บันทึกผลประเมิน!$D$4:$D$320,"ญ",บันทึกผลประเมิน!$L$4:$L$320,"RED")+COUNTIFS(บันทึกผลประเมิน!$D$4:$D$320,"ญ",บันทึกผลประเมิน!$L$4:$L$320,"ORANGE")+COUNTIFS(บันทึกผลประเมิน!$D$4:$D$320,"ญ",บันทึกผลประเมิน!$L$4:$L$320,"YELLOW")</f>
        <v>2</v>
      </c>
    </row>
    <row r="32" customFormat="false" ht="19.4" hidden="false" customHeight="false" outlineLevel="0" collapsed="false">
      <c r="B32" s="11" t="s">
        <v>576</v>
      </c>
    </row>
    <row r="33" customFormat="false" ht="17.35" hidden="false" customHeight="false" outlineLevel="0" collapsed="false">
      <c r="B33" s="14" t="s">
        <v>577</v>
      </c>
      <c r="C33" s="14" t="s">
        <v>578</v>
      </c>
    </row>
    <row r="34" customFormat="false" ht="16.4" hidden="false" customHeight="false" outlineLevel="0" collapsed="false">
      <c r="B34" s="6" t="s">
        <v>579</v>
      </c>
      <c r="C34" s="4" t="n">
        <f aca="false">COUNTIF(บันทึกผลประเมิน!$K$4:$K$320,"ใช่")</f>
        <v>1</v>
      </c>
    </row>
    <row r="35" customFormat="false" ht="16.4" hidden="false" customHeight="false" outlineLevel="0" collapsed="false">
      <c r="B35" s="6" t="s">
        <v>580</v>
      </c>
      <c r="C35" s="4" t="n">
        <f aca="false">IFERROR(ROUND(AVERAGE(บันทึกผลประเมิน!$J$4:$J$320),1),"-")</f>
        <v>53.7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2026-07-16T12:53:19Z</dcterms:created>
  <dc:creator>openpyxl</dc:creator>
  <dc:description/>
  <dc:language>en-US</dc:language>
  <cp:lastModifiedBy/>
  <dcterms:modified xsi:type="dcterms:W3CDTF">2026-07-16T12:53:19Z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